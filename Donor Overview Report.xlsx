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 1" r:id="rId1"/>
  </sheets>
</workbook>
</file>

<file path=xl/sharedStrings.xml><?xml version="1.0" encoding="utf-8"?>
<sst xmlns="http://schemas.openxmlformats.org/spreadsheetml/2006/main" count="533" uniqueCount="209" xml:space="preserve">
  <si>
    <t>LGL Constituent ID</t>
  </si>
  <si>
    <t>External constituent ID</t>
  </si>
  <si>
    <t>Constituent Type</t>
  </si>
  <si>
    <t>First Name</t>
  </si>
  <si>
    <t>Last Name</t>
  </si>
  <si>
    <t>Middle Name</t>
  </si>
  <si>
    <t>Maiden Name</t>
  </si>
  <si>
    <t>Addressee</t>
  </si>
  <si>
    <t>Annual Report Name</t>
  </si>
  <si>
    <t>Spouse Name</t>
  </si>
  <si>
    <t>Salutation</t>
  </si>
  <si>
    <t>Alt. Addressee</t>
  </si>
  <si>
    <t>Alt. Salutation</t>
  </si>
  <si>
    <t>Honorary Name</t>
  </si>
  <si>
    <t>Assistant Name</t>
  </si>
  <si>
    <t>Birthday</t>
  </si>
  <si>
    <t>Job Title</t>
  </si>
  <si>
    <t>Org Name</t>
  </si>
  <si>
    <t>Capacity</t>
  </si>
  <si>
    <t>Interest Level</t>
  </si>
  <si>
    <t>Last contact rpt.</t>
  </si>
  <si>
    <t>Last mail/email</t>
  </si>
  <si>
    <t>Pref. Email</t>
  </si>
  <si>
    <t>Pref. Email Type</t>
  </si>
  <si>
    <t>Pref. LGL Email ID</t>
  </si>
  <si>
    <t>Pref. Phone</t>
  </si>
  <si>
    <t>Pref. Phone Type</t>
  </si>
  <si>
    <t>Pref. LGL Phone ID</t>
  </si>
  <si>
    <t>Pref. Street</t>
  </si>
  <si>
    <t>Pref. City</t>
  </si>
  <si>
    <t>Pref. State/Province</t>
  </si>
  <si>
    <t>Pref. ZIP/Postal Code</t>
  </si>
  <si>
    <t>Pref. Country</t>
  </si>
  <si>
    <t>Pref. Address Type</t>
  </si>
  <si>
    <t>Pref. LGL Address ID</t>
  </si>
  <si>
    <t>Stewards</t>
  </si>
  <si>
    <t>Contact Type</t>
  </si>
  <si>
    <t>Groups</t>
  </si>
  <si>
    <t>MailChimp Status</t>
  </si>
  <si>
    <t>Acknowledgment Preference</t>
  </si>
  <si>
    <t>Adjacent Contact</t>
  </si>
  <si>
    <t>Category</t>
  </si>
  <si>
    <t>Communication Tags</t>
  </si>
  <si>
    <t>Gift date</t>
  </si>
  <si>
    <t>Giving Status</t>
  </si>
  <si>
    <t>Role</t>
  </si>
  <si>
    <t>Rotary Club Affiliation</t>
  </si>
  <si>
    <t>Rotary Club type</t>
  </si>
  <si>
    <t>Rotary District</t>
  </si>
  <si>
    <t>Rotary Role</t>
  </si>
  <si>
    <t>Background Info</t>
  </si>
  <si>
    <t>LGL membership ID</t>
  </si>
  <si>
    <t>Membership level</t>
  </si>
  <si>
    <t>Membership status</t>
  </si>
  <si>
    <t>Membership start</t>
  </si>
  <si>
    <t>Membership end</t>
  </si>
  <si>
    <t>Student</t>
  </si>
  <si>
    <t>Parent</t>
  </si>
  <si>
    <t>Grandparent</t>
  </si>
  <si>
    <t>Individual</t>
  </si>
  <si>
    <t>Kristin</t>
  </si>
  <si>
    <t>Agisotelis</t>
  </si>
  <si>
    <t>Kristin Agisotelis</t>
  </si>
  <si>
    <t>Dawson County High School</t>
  </si>
  <si>
    <t>kristin.agisotelis@dawsoncountyschools.org</t>
  </si>
  <si>
    <t>Home</t>
  </si>
  <si>
    <t>Primary</t>
  </si>
  <si>
    <t>No valid address;No valid phone</t>
  </si>
  <si>
    <t>Non Donor</t>
  </si>
  <si>
    <t>Contest Chair</t>
  </si>
  <si>
    <t>Jim</t>
  </si>
  <si>
    <t>Bailey</t>
  </si>
  <si>
    <t>Jim Bailey</t>
  </si>
  <si>
    <t>jimbailey1212@gmail.com</t>
  </si>
  <si>
    <t>111 Waters Edge</t>
  </si>
  <si>
    <t>Dawsonville</t>
  </si>
  <si>
    <t>GA</t>
  </si>
  <si>
    <t>Board Member</t>
  </si>
  <si>
    <t>Rotary</t>
  </si>
  <si>
    <t>Dawson County</t>
  </si>
  <si>
    <t>Dawson County Rotary Club</t>
  </si>
  <si>
    <t>Vivian</t>
  </si>
  <si>
    <t>Bankston</t>
  </si>
  <si>
    <t>Vivian Bankston</t>
  </si>
  <si>
    <t>Roswell</t>
  </si>
  <si>
    <t>vbankston@hotmail.com</t>
  </si>
  <si>
    <t>3804 Apple Way</t>
  </si>
  <si>
    <t>Marietta</t>
  </si>
  <si>
    <t>No valid phone</t>
  </si>
  <si>
    <t>Contest Chair;Judge</t>
  </si>
  <si>
    <t>Anne</t>
  </si>
  <si>
    <t>Blanchard-McGreggor</t>
  </si>
  <si>
    <t>Anne Blanchard-McGreggor</t>
  </si>
  <si>
    <t>akw0308@gmail.com</t>
  </si>
  <si>
    <t>3403 Woodshire Crossing</t>
  </si>
  <si>
    <t>School</t>
  </si>
  <si>
    <t>Molly</t>
  </si>
  <si>
    <t>Conklin</t>
  </si>
  <si>
    <t>Molly Conklin</t>
  </si>
  <si>
    <t>Fannin County High School</t>
  </si>
  <si>
    <t>mconklin@fannin.k12.ga.us</t>
  </si>
  <si>
    <t>Organization</t>
  </si>
  <si>
    <t>1665 Perimeter Road</t>
  </si>
  <si>
    <t>No valid email;No valid phone</t>
  </si>
  <si>
    <t>Delta Community Credit Union</t>
  </si>
  <si>
    <t>Delta Delta Community Credit Union</t>
  </si>
  <si>
    <t>Delta</t>
  </si>
  <si>
    <t>William.Wesley@deltacommunitycu.com</t>
  </si>
  <si>
    <t>Attn: William Wesley</t>
  </si>
  <si>
    <t>Atlanta</t>
  </si>
  <si>
    <t>360 Rebel Circle</t>
  </si>
  <si>
    <t>Blue Ridge</t>
  </si>
  <si>
    <t>Athena</t>
  </si>
  <si>
    <t>Fereq</t>
  </si>
  <si>
    <t>Athena Fereq</t>
  </si>
  <si>
    <t>Roswell High School</t>
  </si>
  <si>
    <t>fereqa@fultonschools.org</t>
  </si>
  <si>
    <t>Bob</t>
  </si>
  <si>
    <t>Hagan</t>
  </si>
  <si>
    <t>Bob Hagan</t>
  </si>
  <si>
    <t>bhagan@sterling-health.com</t>
  </si>
  <si>
    <t>Donor;Past Board Member</t>
  </si>
  <si>
    <t>Top 100 Donor;Lapsed Donor</t>
  </si>
  <si>
    <t>Bridge Founder;PDG</t>
  </si>
  <si>
    <t>Hardaway High</t>
  </si>
  <si>
    <t>2901 College Drive</t>
  </si>
  <si>
    <t>Columbus</t>
  </si>
  <si>
    <t>Alan</t>
  </si>
  <si>
    <t>Harkness</t>
  </si>
  <si>
    <t>Alan Harkness</t>
  </si>
  <si>
    <t>ralanharkness@hotmail.com</t>
  </si>
  <si>
    <t>Donor</t>
  </si>
  <si>
    <t>Judge</t>
  </si>
  <si>
    <t>Independence High</t>
  </si>
  <si>
    <t>791 Mimosa Blvd.</t>
  </si>
  <si>
    <t>The</t>
  </si>
  <si>
    <t>Jane &amp; Randy Merrill Foundation Inc</t>
  </si>
  <si>
    <t>The Jane &amp; Randy Merrill Foundation Inc</t>
  </si>
  <si>
    <t>No valid address;No valid email;No valid phone</t>
  </si>
  <si>
    <t>Lassiter High School</t>
  </si>
  <si>
    <t>2601 Shallowford Road</t>
  </si>
  <si>
    <t>Dr. Anne</t>
  </si>
  <si>
    <t>McGreggor</t>
  </si>
  <si>
    <t>Dr. Anne McGreggor</t>
  </si>
  <si>
    <t>anne.blanchard-mcgreggor@cobbk12.org</t>
  </si>
  <si>
    <t>Maurdrice</t>
  </si>
  <si>
    <t>McNeill</t>
  </si>
  <si>
    <t>Maurdrice McNeill</t>
  </si>
  <si>
    <t>Mcneill.Maurdrice@muscogee.k12.ga.us</t>
  </si>
  <si>
    <t>Principal</t>
  </si>
  <si>
    <t>LouAnn</t>
  </si>
  <si>
    <t>Medlock</t>
  </si>
  <si>
    <t>Judith (Louann) Medlock</t>
  </si>
  <si>
    <t>Judith (Louann)</t>
  </si>
  <si>
    <t>Muscogee-Columbus</t>
  </si>
  <si>
    <t>pedsrx5@aol.com</t>
  </si>
  <si>
    <t>750 Cornerstone Dr</t>
  </si>
  <si>
    <t>Top 100 Donor;Active Donor</t>
  </si>
  <si>
    <t>Jane &amp; Randy</t>
  </si>
  <si>
    <t>Merrill</t>
  </si>
  <si>
    <t>Jane &amp; Randy Merrill</t>
  </si>
  <si>
    <t>Randy Merrill</t>
  </si>
  <si>
    <t>randy.merrill@me.com</t>
  </si>
  <si>
    <t>4246 Sentinel Post Rd NW</t>
  </si>
  <si>
    <t>Friend of Carol &amp; Cassandra</t>
  </si>
  <si>
    <t>Dr. Rako</t>
  </si>
  <si>
    <t>Morrissey</t>
  </si>
  <si>
    <t>Dr. Rako Morrissey</t>
  </si>
  <si>
    <t>morrisseyr1@fultonschools.org</t>
  </si>
  <si>
    <t>Michael</t>
  </si>
  <si>
    <t>Negley</t>
  </si>
  <si>
    <t>Michael Negley</t>
  </si>
  <si>
    <t>michael.negley@dawson.k12.ga.us</t>
  </si>
  <si>
    <t>Dr. Scott</t>
  </si>
  <si>
    <t>Ramsey</t>
  </si>
  <si>
    <t>Dr. Scott Ramsey</t>
  </si>
  <si>
    <t>sramsey@fannin.k12.ga.us</t>
  </si>
  <si>
    <t>Dr. Chris</t>
  </si>
  <si>
    <t>Richie</t>
  </si>
  <si>
    <t>Dr. Chris Richie</t>
  </si>
  <si>
    <t>chris.richie@cobbk12.org</t>
  </si>
  <si>
    <t>11595 King Rd.</t>
  </si>
  <si>
    <t>Shaw High School</t>
  </si>
  <si>
    <t>7579 Raider Way</t>
  </si>
  <si>
    <t>Kerry</t>
  </si>
  <si>
    <t>Shorr</t>
  </si>
  <si>
    <t>Kerry Shorr</t>
  </si>
  <si>
    <t>ShorrK@fultonschools.org</t>
  </si>
  <si>
    <t>Tabitha</t>
  </si>
  <si>
    <t>Taylor</t>
  </si>
  <si>
    <t>Tabitha Taylor</t>
  </si>
  <si>
    <t>taylortw@fultonschools.org</t>
  </si>
  <si>
    <t>The John Templeton Foundation</t>
  </si>
  <si>
    <t>The The John Templeton Foundation</t>
  </si>
  <si>
    <t>cpollock@templeton.org</t>
  </si>
  <si>
    <t>300 Conshohocken State Road, Ste. 500</t>
  </si>
  <si>
    <t>West Conshohocken</t>
  </si>
  <si>
    <t>PA</t>
  </si>
  <si>
    <t>Anjali</t>
  </si>
  <si>
    <t>Vekaria</t>
  </si>
  <si>
    <t>Anjali Vekaria</t>
  </si>
  <si>
    <t>asvekaria@gmail.com</t>
  </si>
  <si>
    <t>884 3rd St</t>
  </si>
  <si>
    <t>Alpharetta</t>
  </si>
  <si>
    <t>Renee</t>
  </si>
  <si>
    <t>Welch</t>
  </si>
  <si>
    <t>Renee Welch</t>
  </si>
  <si>
    <t>South Forsyth</t>
  </si>
  <si>
    <t>rwelch@bolingrice.com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</si>
</sst>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G3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3.1"/>
    <col min="2" max="2" bestFit="1" customWidth="1" width="28.6"/>
    <col min="3" max="3" bestFit="1" customWidth="1" width="20.900000000000002"/>
    <col min="4" max="4" bestFit="1" customWidth="1" width="16.5"/>
    <col min="5" max="5" bestFit="1" customWidth="1" width="41.800000000000004"/>
    <col min="6" max="6" bestFit="1" customWidth="1" width="15.400000000000002"/>
    <col min="7" max="7" bestFit="1" customWidth="1" width="15.400000000000002"/>
    <col min="8" max="8" bestFit="1" customWidth="1" width="46.2"/>
    <col min="9" max="9" bestFit="1" customWidth="1" width="46.2"/>
    <col min="10" max="10" bestFit="1" customWidth="1" width="17.6"/>
    <col min="11" max="11" bestFit="1" customWidth="1" width="19.8"/>
    <col min="12" max="12" bestFit="1" customWidth="1" width="46.2"/>
    <col min="13" max="13" bestFit="1" customWidth="1" width="19.8"/>
    <col min="14" max="14" bestFit="1" customWidth="1" width="46.2"/>
    <col min="15" max="15" bestFit="1" customWidth="1" width="18.700000000000003"/>
    <col min="16" max="16" bestFit="1" customWidth="1" width="12.100000000000001"/>
    <col min="17" max="17" bestFit="1" customWidth="1" width="13.200000000000001"/>
    <col min="18" max="18" bestFit="1" customWidth="1" width="30.800000000000004"/>
    <col min="19" max="19" bestFit="1" customWidth="1" width="12.100000000000001"/>
    <col min="20" max="20" bestFit="1" customWidth="1" width="18.700000000000003"/>
    <col min="21" max="21" bestFit="1" customWidth="1" width="22.0"/>
    <col min="22" max="22" bestFit="1" customWidth="1" width="19.8"/>
    <col min="23" max="23" bestFit="1" customWidth="1" width="49.50000000000001"/>
    <col min="24" max="24" bestFit="1" customWidth="1" width="20.900000000000002"/>
    <col min="25" max="25" bestFit="1" customWidth="1" width="23.1"/>
    <col min="26" max="26" bestFit="1" customWidth="1" width="15.400000000000002"/>
    <col min="27" max="27" bestFit="1" customWidth="1" width="20.900000000000002"/>
    <col min="28" max="28" bestFit="1" customWidth="1" width="23.1"/>
    <col min="29" max="29" bestFit="1" customWidth="1" width="44.0"/>
    <col min="30" max="30" bestFit="1" customWidth="1" width="22.0"/>
    <col min="31" max="31" bestFit="1" customWidth="1" width="25.3"/>
    <col min="32" max="32" bestFit="1" customWidth="1" width="26.400000000000002"/>
    <col min="33" max="33" bestFit="1" customWidth="1" width="17.6"/>
    <col min="34" max="34" bestFit="1" customWidth="1" width="23.1"/>
    <col min="35" max="35" bestFit="1" customWidth="1" width="25.3"/>
    <col min="36" max="36" bestFit="1" customWidth="1" width="12.100000000000001"/>
    <col min="37" max="37" bestFit="1" customWidth="1" width="16.5"/>
    <col min="38" max="38" bestFit="1" customWidth="1" width="28.6"/>
    <col min="39" max="39" bestFit="1" customWidth="1" width="20.900000000000002"/>
    <col min="40" max="40" bestFit="1" customWidth="1" width="30.800000000000004"/>
    <col min="41" max="41" bestFit="1" customWidth="1" width="20.900000000000002"/>
    <col min="42" max="42" bestFit="1" customWidth="1" width="12.100000000000001"/>
    <col min="43" max="43" bestFit="1" customWidth="1" width="53.900000000000006"/>
    <col min="44" max="44" bestFit="1" customWidth="1" width="13.200000000000001"/>
    <col min="45" max="45" bestFit="1" customWidth="1" width="31.900000000000002"/>
    <col min="46" max="46" bestFit="1" customWidth="1" width="24.200000000000003"/>
    <col min="47" max="47" bestFit="1" customWidth="1" width="28.6"/>
    <col min="48" max="48" bestFit="1" customWidth="1" width="30.800000000000004"/>
    <col min="49" max="49" bestFit="1" customWidth="1" width="19.8"/>
    <col min="50" max="50" bestFit="1" customWidth="1" width="15.400000000000002"/>
    <col min="51" max="51" bestFit="1" customWidth="1" width="33.0"/>
    <col min="52" max="52" bestFit="1" customWidth="1" width="22.0"/>
    <col min="53" max="53" bestFit="1" customWidth="1" width="20.900000000000002"/>
    <col min="54" max="54" bestFit="1" customWidth="1" width="22.0"/>
    <col min="55" max="55" bestFit="1" customWidth="1" width="20.900000000000002"/>
    <col min="56" max="56" bestFit="1" customWidth="1" width="18.700000000000003"/>
    <col min="57" max="57" bestFit="1" customWidth="1" width="11.0"/>
    <col min="58" max="58" bestFit="1" customWidth="1" width="9.9"/>
    <col min="59" max="59" bestFit="1" customWidth="1" width="15.400000000000002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</row>
    <row r="2">
      <c r="A2" s="0" t="n">
        <v>952162</v>
      </c>
      <c r="B2" s="0"/>
      <c r="C2" s="0" t="s">
        <v>59</v>
      </c>
      <c r="D2" s="0" t="s">
        <v>60</v>
      </c>
      <c r="E2" s="0" t="s">
        <v>61</v>
      </c>
      <c r="F2" s="0"/>
      <c r="G2" s="0"/>
      <c r="H2" s="0" t="s">
        <v>62</v>
      </c>
      <c r="I2" s="0" t="s">
        <v>62</v>
      </c>
      <c r="J2" s="0"/>
      <c r="K2" s="0" t="s">
        <v>60</v>
      </c>
      <c r="L2" s="0" t="s">
        <v>62</v>
      </c>
      <c r="M2" s="0" t="s">
        <v>60</v>
      </c>
      <c r="N2" s="0" t="s">
        <v>62</v>
      </c>
      <c r="O2" s="0"/>
      <c r="P2" s="0"/>
      <c r="Q2" s="0"/>
      <c r="R2" s="0" t="s">
        <v>63</v>
      </c>
      <c r="S2" s="0"/>
      <c r="T2" s="0"/>
      <c r="U2" s="0"/>
      <c r="V2" s="0"/>
      <c r="W2" s="0" t="s">
        <v>64</v>
      </c>
      <c r="X2" s="0" t="s">
        <v>65</v>
      </c>
      <c r="Y2" s="0" t="n">
        <v>282432</v>
      </c>
      <c r="Z2" s="0" t="str">
        <f>""</f>
      </c>
      <c r="AA2" s="0" t="str">
        <f>""</f>
      </c>
      <c r="AB2" s="0" t="str">
        <f>""</f>
      </c>
      <c r="AC2" s="0" t="inlineStr">
        <is>
          <t/>
        </is>
      </c>
      <c r="AD2" s="0"/>
      <c r="AE2" s="0"/>
      <c r="AF2" s="0" t="str">
        <f>""</f>
      </c>
      <c r="AG2" s="0"/>
      <c r="AH2" s="0"/>
      <c r="AI2" s="0"/>
      <c r="AJ2" s="0" t="inlineStr">
        <is>
          <t/>
        </is>
      </c>
      <c r="AK2" s="0" t="s">
        <v>66</v>
      </c>
      <c r="AL2" s="0" t="inlineStr">
        <is>
          <t/>
        </is>
      </c>
      <c r="AM2" s="0" t="inlineStr">
        <is>
          <t/>
        </is>
      </c>
      <c r="AN2" s="0" t="inlineStr">
        <is>
          <t/>
        </is>
      </c>
      <c r="AO2" s="0" t="inlineStr">
        <is>
          <t/>
        </is>
      </c>
      <c r="AP2" s="0" t="inlineStr">
        <is>
          <t/>
        </is>
      </c>
      <c r="AQ2" s="0" t="s">
        <v>67</v>
      </c>
      <c r="AR2" s="0" t="inlineStr">
        <is>
          <t/>
        </is>
      </c>
      <c r="AS2" s="0" t="s">
        <v>68</v>
      </c>
      <c r="AT2" s="0" t="s">
        <v>69</v>
      </c>
      <c r="AU2" s="0" t="inlineStr">
        <is>
          <t/>
        </is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/>
      <c r="AZ2" s="0"/>
      <c r="BA2" s="0"/>
      <c r="BB2" s="0"/>
      <c r="BC2" s="0"/>
      <c r="BD2" s="0"/>
      <c r="BE2" s="0" t="inlineStr">
        <is>
          <t/>
        </is>
      </c>
      <c r="BF2" s="0" t="inlineStr">
        <is>
          <t/>
        </is>
      </c>
      <c r="BG2" s="0" t="inlineStr">
        <is>
          <t/>
        </is>
      </c>
    </row>
    <row r="3">
      <c r="A3" s="0" t="n">
        <v>952082</v>
      </c>
      <c r="B3" s="0" t="inlineStr">
        <is>
          <t/>
        </is>
      </c>
      <c r="C3" s="0" t="s">
        <v>59</v>
      </c>
      <c r="D3" s="0" t="s">
        <v>70</v>
      </c>
      <c r="E3" s="0" t="s">
        <v>71</v>
      </c>
      <c r="F3" s="0" t="inlineStr">
        <is>
          <t/>
        </is>
      </c>
      <c r="G3" s="0" t="inlineStr">
        <is>
          <t/>
        </is>
      </c>
      <c r="H3" s="0" t="s">
        <v>72</v>
      </c>
      <c r="I3" s="0" t="s">
        <v>72</v>
      </c>
      <c r="J3" s="0" t="inlineStr">
        <is>
          <t/>
        </is>
      </c>
      <c r="K3" s="0" t="s">
        <v>70</v>
      </c>
      <c r="L3" s="0" t="s">
        <v>72</v>
      </c>
      <c r="M3" s="0" t="s">
        <v>70</v>
      </c>
      <c r="N3" s="0" t="s">
        <v>72</v>
      </c>
      <c r="O3" s="0" t="inlineStr">
        <is>
          <t/>
        </is>
      </c>
      <c r="P3" s="0"/>
      <c r="Q3" s="0" t="inlineStr">
        <is>
          <t/>
        </is>
      </c>
      <c r="R3" s="0" t="inlineStr">
        <is>
          <t/>
        </is>
      </c>
      <c r="S3" s="0"/>
      <c r="T3" s="0"/>
      <c r="U3" s="0"/>
      <c r="V3" s="0"/>
      <c r="W3" s="0" t="s">
        <v>73</v>
      </c>
      <c r="X3" s="0" t="s">
        <v>65</v>
      </c>
      <c r="Y3" s="0" t="n">
        <v>282387</v>
      </c>
      <c r="Z3" s="0" t="str">
        <f>"(770) 841-8620"</f>
      </c>
      <c r="AA3" s="0" t="str">
        <f>"Home"</f>
      </c>
      <c r="AB3" s="0" t="str">
        <f>"482562"</f>
      </c>
      <c r="AC3" s="0" t="s">
        <v>74</v>
      </c>
      <c r="AD3" s="0" t="s">
        <v>75</v>
      </c>
      <c r="AE3" s="0" t="s">
        <v>76</v>
      </c>
      <c r="AF3" s="0" t="str">
        <f>"30534"</f>
      </c>
      <c r="AG3" s="0" t="inlineStr">
        <is>
          <t/>
        </is>
      </c>
      <c r="AH3" s="0" t="s">
        <v>65</v>
      </c>
      <c r="AI3" s="0" t="n">
        <v>841937</v>
      </c>
      <c r="AJ3" s="0" t="inlineStr">
        <is>
          <t/>
        </is>
      </c>
      <c r="AK3" s="0" t="s">
        <v>66</v>
      </c>
      <c r="AL3" s="0" t="s">
        <v>77</v>
      </c>
      <c r="AM3" s="0" t="inlineStr">
        <is>
          <t/>
        </is>
      </c>
      <c r="AN3" s="0" t="inlineStr">
        <is>
          <t/>
        </is>
      </c>
      <c r="AO3" s="0" t="inlineStr">
        <is>
          <t/>
        </is>
      </c>
      <c r="AP3" s="0" t="s">
        <v>78</v>
      </c>
      <c r="AQ3" s="0" t="inlineStr">
        <is>
          <t/>
        </is>
      </c>
      <c r="AR3" s="0" t="inlineStr">
        <is>
          <t/>
        </is>
      </c>
      <c r="AS3" s="0" t="s">
        <v>68</v>
      </c>
      <c r="AT3" s="0" t="s">
        <v>69</v>
      </c>
      <c r="AU3" s="0" t="s">
        <v>79</v>
      </c>
      <c r="AV3" s="0" t="s">
        <v>80</v>
      </c>
      <c r="AW3" s="0" t="n">
        <v>6910</v>
      </c>
      <c r="AX3" s="0" t="inlineStr">
        <is>
          <t/>
        </is>
      </c>
      <c r="AY3" s="0" t="inlineStr">
        <is>
          <t/>
        </is>
      </c>
      <c r="AZ3" s="0"/>
      <c r="BA3" s="0"/>
      <c r="BB3" s="0"/>
      <c r="BC3" s="0"/>
      <c r="BD3" s="0"/>
      <c r="BE3" s="0" t="inlineStr">
        <is>
          <t/>
        </is>
      </c>
      <c r="BF3" s="0" t="inlineStr">
        <is>
          <t/>
        </is>
      </c>
      <c r="BG3" s="0" t="inlineStr">
        <is>
          <t/>
        </is>
      </c>
    </row>
    <row r="4">
      <c r="A4" s="0" t="n">
        <v>952087</v>
      </c>
      <c r="B4" s="0" t="inlineStr">
        <is>
          <t/>
        </is>
      </c>
      <c r="C4" s="0" t="s">
        <v>59</v>
      </c>
      <c r="D4" s="0" t="s">
        <v>81</v>
      </c>
      <c r="E4" s="0" t="s">
        <v>82</v>
      </c>
      <c r="F4" s="0" t="inlineStr">
        <is>
          <t/>
        </is>
      </c>
      <c r="G4" s="0" t="inlineStr">
        <is>
          <t/>
        </is>
      </c>
      <c r="H4" s="0" t="s">
        <v>83</v>
      </c>
      <c r="I4" s="0" t="s">
        <v>83</v>
      </c>
      <c r="J4" s="0" t="inlineStr">
        <is>
          <t/>
        </is>
      </c>
      <c r="K4" s="0" t="s">
        <v>81</v>
      </c>
      <c r="L4" s="0" t="s">
        <v>83</v>
      </c>
      <c r="M4" s="0" t="s">
        <v>81</v>
      </c>
      <c r="N4" s="0" t="s">
        <v>83</v>
      </c>
      <c r="O4" s="0" t="inlineStr">
        <is>
          <t/>
        </is>
      </c>
      <c r="P4" s="0"/>
      <c r="Q4" s="0" t="inlineStr">
        <is>
          <t/>
        </is>
      </c>
      <c r="R4" s="0" t="s">
        <v>84</v>
      </c>
      <c r="S4" s="0"/>
      <c r="T4" s="0"/>
      <c r="U4" s="0"/>
      <c r="V4" s="0"/>
      <c r="W4" s="0" t="s">
        <v>85</v>
      </c>
      <c r="X4" s="0" t="s">
        <v>65</v>
      </c>
      <c r="Y4" s="0" t="n">
        <v>282392</v>
      </c>
      <c r="Z4" s="0" t="str">
        <f>""</f>
      </c>
      <c r="AA4" s="0" t="str">
        <f>""</f>
      </c>
      <c r="AB4" s="0" t="str">
        <f>""</f>
      </c>
      <c r="AC4" s="0" t="s">
        <v>86</v>
      </c>
      <c r="AD4" s="0" t="s">
        <v>87</v>
      </c>
      <c r="AE4" s="0" t="s">
        <v>76</v>
      </c>
      <c r="AF4" s="0" t="str">
        <f>"30066"</f>
      </c>
      <c r="AG4" s="0" t="inlineStr">
        <is>
          <t/>
        </is>
      </c>
      <c r="AH4" s="0" t="s">
        <v>65</v>
      </c>
      <c r="AI4" s="0" t="n">
        <v>841942</v>
      </c>
      <c r="AJ4" s="0" t="inlineStr">
        <is>
          <t/>
        </is>
      </c>
      <c r="AK4" s="0" t="s">
        <v>66</v>
      </c>
      <c r="AL4" s="0" t="inlineStr">
        <is>
          <t/>
        </is>
      </c>
      <c r="AM4" s="0" t="inlineStr">
        <is>
          <t/>
        </is>
      </c>
      <c r="AN4" s="0" t="inlineStr">
        <is>
          <t/>
        </is>
      </c>
      <c r="AO4" s="0" t="inlineStr">
        <is>
          <t/>
        </is>
      </c>
      <c r="AP4" s="0" t="s">
        <v>78</v>
      </c>
      <c r="AQ4" s="0" t="s">
        <v>88</v>
      </c>
      <c r="AR4" s="0" t="inlineStr">
        <is>
          <t/>
        </is>
      </c>
      <c r="AS4" s="0" t="s">
        <v>68</v>
      </c>
      <c r="AT4" s="0" t="s">
        <v>89</v>
      </c>
      <c r="AU4" s="0" t="inlineStr">
        <is>
          <t/>
        </is>
      </c>
      <c r="AV4" s="0" t="inlineStr">
        <is>
          <t/>
        </is>
      </c>
      <c r="AW4" s="0" t="n">
        <v>6900</v>
      </c>
      <c r="AX4" s="0" t="inlineStr">
        <is>
          <t/>
        </is>
      </c>
      <c r="AY4" s="0" t="inlineStr">
        <is>
          <t/>
        </is>
      </c>
      <c r="AZ4" s="0"/>
      <c r="BA4" s="0"/>
      <c r="BB4" s="0"/>
      <c r="BC4" s="0"/>
      <c r="BD4" s="0"/>
      <c r="BE4" s="0" t="inlineStr">
        <is>
          <t/>
        </is>
      </c>
      <c r="BF4" s="0" t="inlineStr">
        <is>
          <t/>
        </is>
      </c>
      <c r="BG4" s="0" t="inlineStr">
        <is>
          <t/>
        </is>
      </c>
    </row>
    <row r="5">
      <c r="A5" s="0" t="n">
        <v>952092</v>
      </c>
      <c r="B5" s="0"/>
      <c r="C5" s="0" t="s">
        <v>59</v>
      </c>
      <c r="D5" s="0" t="s">
        <v>90</v>
      </c>
      <c r="E5" s="0" t="s">
        <v>91</v>
      </c>
      <c r="F5" s="0"/>
      <c r="G5" s="0"/>
      <c r="H5" s="0" t="s">
        <v>92</v>
      </c>
      <c r="I5" s="0" t="s">
        <v>92</v>
      </c>
      <c r="J5" s="0"/>
      <c r="K5" s="0" t="s">
        <v>90</v>
      </c>
      <c r="L5" s="0" t="s">
        <v>92</v>
      </c>
      <c r="M5" s="0" t="s">
        <v>90</v>
      </c>
      <c r="N5" s="0" t="s">
        <v>92</v>
      </c>
      <c r="O5" s="0"/>
      <c r="P5" s="0"/>
      <c r="Q5" s="0"/>
      <c r="R5" s="0"/>
      <c r="S5" s="0"/>
      <c r="T5" s="0"/>
      <c r="U5" s="0"/>
      <c r="V5" s="0"/>
      <c r="W5" s="0" t="s">
        <v>93</v>
      </c>
      <c r="X5" s="0" t="s">
        <v>65</v>
      </c>
      <c r="Y5" s="0" t="n">
        <v>282397</v>
      </c>
      <c r="Z5" s="0" t="str">
        <f>""</f>
      </c>
      <c r="AA5" s="0" t="str">
        <f>""</f>
      </c>
      <c r="AB5" s="0" t="str">
        <f>""</f>
      </c>
      <c r="AC5" s="0" t="s">
        <v>94</v>
      </c>
      <c r="AD5" s="0" t="s">
        <v>87</v>
      </c>
      <c r="AE5" s="0" t="s">
        <v>76</v>
      </c>
      <c r="AF5" s="0" t="str">
        <f>"30066"</f>
      </c>
      <c r="AG5" s="0"/>
      <c r="AH5" s="0" t="s">
        <v>65</v>
      </c>
      <c r="AI5" s="0" t="n">
        <v>841947</v>
      </c>
      <c r="AJ5" s="0" t="inlineStr">
        <is>
          <t/>
        </is>
      </c>
      <c r="AK5" s="0" t="s">
        <v>66</v>
      </c>
      <c r="AL5" s="0" t="inlineStr">
        <is>
          <t/>
        </is>
      </c>
      <c r="AM5" s="0" t="inlineStr">
        <is>
          <t/>
        </is>
      </c>
      <c r="AN5" s="0" t="inlineStr">
        <is>
          <t/>
        </is>
      </c>
      <c r="AO5" s="0" t="inlineStr">
        <is>
          <t/>
        </is>
      </c>
      <c r="AP5" s="0" t="s">
        <v>95</v>
      </c>
      <c r="AQ5" s="0" t="s">
        <v>88</v>
      </c>
      <c r="AR5" s="0" t="inlineStr">
        <is>
          <t/>
        </is>
      </c>
      <c r="AS5" s="0" t="s">
        <v>68</v>
      </c>
      <c r="AT5" s="0" t="inlineStr">
        <is>
          <t/>
        </is>
      </c>
      <c r="AU5" s="0" t="inlineStr">
        <is>
          <t/>
        </is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/>
      <c r="AZ5" s="0"/>
      <c r="BA5" s="0"/>
      <c r="BB5" s="0"/>
      <c r="BC5" s="0"/>
      <c r="BD5" s="0"/>
      <c r="BE5" s="0" t="inlineStr">
        <is>
          <t/>
        </is>
      </c>
      <c r="BF5" s="0" t="inlineStr">
        <is>
          <t/>
        </is>
      </c>
      <c r="BG5" s="0" t="inlineStr">
        <is>
          <t/>
        </is>
      </c>
    </row>
    <row r="6">
      <c r="A6" s="0" t="n">
        <v>952172</v>
      </c>
      <c r="B6" s="0"/>
      <c r="C6" s="0" t="s">
        <v>59</v>
      </c>
      <c r="D6" s="0" t="s">
        <v>96</v>
      </c>
      <c r="E6" s="0" t="s">
        <v>97</v>
      </c>
      <c r="F6" s="0"/>
      <c r="G6" s="0"/>
      <c r="H6" s="0" t="s">
        <v>98</v>
      </c>
      <c r="I6" s="0" t="s">
        <v>98</v>
      </c>
      <c r="J6" s="0"/>
      <c r="K6" s="0" t="s">
        <v>96</v>
      </c>
      <c r="L6" s="0" t="s">
        <v>98</v>
      </c>
      <c r="M6" s="0" t="s">
        <v>96</v>
      </c>
      <c r="N6" s="0" t="s">
        <v>98</v>
      </c>
      <c r="O6" s="0"/>
      <c r="P6" s="0"/>
      <c r="Q6" s="0"/>
      <c r="R6" s="0" t="s">
        <v>99</v>
      </c>
      <c r="S6" s="0"/>
      <c r="T6" s="0"/>
      <c r="U6" s="0"/>
      <c r="V6" s="0"/>
      <c r="W6" s="0" t="s">
        <v>100</v>
      </c>
      <c r="X6" s="0" t="s">
        <v>65</v>
      </c>
      <c r="Y6" s="0" t="n">
        <v>282442</v>
      </c>
      <c r="Z6" s="0" t="str">
        <f>""</f>
      </c>
      <c r="AA6" s="0" t="str">
        <f>""</f>
      </c>
      <c r="AB6" s="0" t="str">
        <f>""</f>
      </c>
      <c r="AC6" s="0" t="inlineStr">
        <is>
          <t/>
        </is>
      </c>
      <c r="AD6" s="0"/>
      <c r="AE6" s="0"/>
      <c r="AF6" s="0" t="str">
        <f>""</f>
      </c>
      <c r="AG6" s="0"/>
      <c r="AH6" s="0"/>
      <c r="AI6" s="0"/>
      <c r="AJ6" s="0" t="inlineStr">
        <is>
          <t/>
        </is>
      </c>
      <c r="AK6" s="0" t="s">
        <v>66</v>
      </c>
      <c r="AL6" s="0" t="inlineStr">
        <is>
          <t/>
        </is>
      </c>
      <c r="AM6" s="0" t="inlineStr">
        <is>
          <t/>
        </is>
      </c>
      <c r="AN6" s="0" t="inlineStr">
        <is>
          <t/>
        </is>
      </c>
      <c r="AO6" s="0" t="inlineStr">
        <is>
          <t/>
        </is>
      </c>
      <c r="AP6" s="0" t="inlineStr">
        <is>
          <t/>
        </is>
      </c>
      <c r="AQ6" s="0" t="s">
        <v>67</v>
      </c>
      <c r="AR6" s="0" t="inlineStr">
        <is>
          <t/>
        </is>
      </c>
      <c r="AS6" s="0" t="s">
        <v>68</v>
      </c>
      <c r="AT6" s="0" t="s">
        <v>69</v>
      </c>
      <c r="AU6" s="0" t="inlineStr">
        <is>
          <t/>
        </is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/>
      <c r="AZ6" s="0"/>
      <c r="BA6" s="0"/>
      <c r="BB6" s="0"/>
      <c r="BC6" s="0"/>
      <c r="BD6" s="0"/>
      <c r="BE6" s="0" t="inlineStr">
        <is>
          <t/>
        </is>
      </c>
      <c r="BF6" s="0" t="inlineStr">
        <is>
          <t/>
        </is>
      </c>
      <c r="BG6" s="0" t="inlineStr">
        <is>
          <t/>
        </is>
      </c>
    </row>
    <row r="7">
      <c r="A7" s="0" t="n">
        <v>952127</v>
      </c>
      <c r="B7" s="0"/>
      <c r="C7" s="0" t="s">
        <v>101</v>
      </c>
      <c r="D7" s="0"/>
      <c r="E7" s="0"/>
      <c r="F7" s="0"/>
      <c r="G7" s="0"/>
      <c r="H7" s="0" t="s">
        <v>63</v>
      </c>
      <c r="I7" s="0"/>
      <c r="J7" s="0"/>
      <c r="K7" s="0"/>
      <c r="L7" s="0" t="s">
        <v>63</v>
      </c>
      <c r="M7" s="0"/>
      <c r="N7" s="0"/>
      <c r="O7" s="0"/>
      <c r="P7" s="0"/>
      <c r="Q7" s="0"/>
      <c r="R7" s="0" t="s">
        <v>63</v>
      </c>
      <c r="S7" s="0"/>
      <c r="T7" s="0"/>
      <c r="U7" s="0"/>
      <c r="V7" s="0"/>
      <c r="W7" s="0"/>
      <c r="X7" s="0"/>
      <c r="Y7" s="0"/>
      <c r="Z7" s="0" t="str">
        <f>""</f>
      </c>
      <c r="AA7" s="0" t="str">
        <f>""</f>
      </c>
      <c r="AB7" s="0" t="str">
        <f>""</f>
      </c>
      <c r="AC7" s="0" t="s">
        <v>102</v>
      </c>
      <c r="AD7" s="0" t="s">
        <v>75</v>
      </c>
      <c r="AE7" s="0" t="s">
        <v>76</v>
      </c>
      <c r="AF7" s="0" t="str">
        <f>"30534"</f>
      </c>
      <c r="AG7" s="0"/>
      <c r="AH7" s="0" t="s">
        <v>65</v>
      </c>
      <c r="AI7" s="0" t="n">
        <v>841982</v>
      </c>
      <c r="AJ7" s="0" t="inlineStr">
        <is>
          <t/>
        </is>
      </c>
      <c r="AK7" s="0" t="s">
        <v>66</v>
      </c>
      <c r="AL7" s="0" t="inlineStr">
        <is>
          <t/>
        </is>
      </c>
      <c r="AM7" s="0" t="inlineStr">
        <is>
          <t/>
        </is>
      </c>
      <c r="AN7" s="0" t="inlineStr">
        <is>
          <t/>
        </is>
      </c>
      <c r="AO7" s="0" t="inlineStr">
        <is>
          <t/>
        </is>
      </c>
      <c r="AP7" s="0" t="inlineStr">
        <is>
          <t/>
        </is>
      </c>
      <c r="AQ7" s="0" t="s">
        <v>103</v>
      </c>
      <c r="AR7" s="0" t="inlineStr">
        <is>
          <t/>
        </is>
      </c>
      <c r="AS7" s="0" t="s">
        <v>68</v>
      </c>
      <c r="AT7" s="0" t="inlineStr">
        <is>
          <t/>
        </is>
      </c>
      <c r="AU7" s="0" t="inlineStr">
        <is>
          <t/>
        </is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/>
      <c r="AZ7" s="0"/>
      <c r="BA7" s="0"/>
      <c r="BB7" s="0"/>
      <c r="BC7" s="0"/>
      <c r="BD7" s="0"/>
      <c r="BE7" s="0" t="inlineStr">
        <is>
          <t/>
        </is>
      </c>
      <c r="BF7" s="0" t="inlineStr">
        <is>
          <t/>
        </is>
      </c>
      <c r="BG7" s="0" t="inlineStr">
        <is>
          <t/>
        </is>
      </c>
    </row>
    <row r="8">
      <c r="A8" s="0" t="n">
        <v>952097</v>
      </c>
      <c r="B8" s="0"/>
      <c r="C8" s="0" t="s">
        <v>59</v>
      </c>
      <c r="D8" s="0"/>
      <c r="E8" s="0" t="s">
        <v>104</v>
      </c>
      <c r="F8" s="0"/>
      <c r="G8" s="0"/>
      <c r="H8" s="0" t="s">
        <v>105</v>
      </c>
      <c r="I8" s="0" t="s">
        <v>105</v>
      </c>
      <c r="J8" s="0"/>
      <c r="K8" s="0" t="s">
        <v>106</v>
      </c>
      <c r="L8" s="0" t="s">
        <v>105</v>
      </c>
      <c r="M8" s="0" t="s">
        <v>106</v>
      </c>
      <c r="N8" s="0" t="s">
        <v>105</v>
      </c>
      <c r="O8" s="0"/>
      <c r="P8" s="0"/>
      <c r="Q8" s="0"/>
      <c r="R8" s="0"/>
      <c r="S8" s="0"/>
      <c r="T8" s="0"/>
      <c r="U8" s="0"/>
      <c r="V8" s="0"/>
      <c r="W8" s="0" t="s">
        <v>107</v>
      </c>
      <c r="X8" s="0" t="s">
        <v>65</v>
      </c>
      <c r="Y8" s="0" t="n">
        <v>282402</v>
      </c>
      <c r="Z8" s="0" t="str">
        <f>""</f>
      </c>
      <c r="AA8" s="0" t="str">
        <f>""</f>
      </c>
      <c r="AB8" s="0" t="str">
        <f>""</f>
      </c>
      <c r="AC8" s="0" t="s">
        <v>108</v>
      </c>
      <c r="AD8" s="0" t="s">
        <v>109</v>
      </c>
      <c r="AE8" s="0" t="s">
        <v>76</v>
      </c>
      <c r="AF8" s="0" t="str">
        <f>"30320"</f>
      </c>
      <c r="AG8" s="0"/>
      <c r="AH8" s="0" t="s">
        <v>65</v>
      </c>
      <c r="AI8" s="0" t="n">
        <v>841952</v>
      </c>
      <c r="AJ8" s="0" t="inlineStr">
        <is>
          <t/>
        </is>
      </c>
      <c r="AK8" s="0" t="s">
        <v>66</v>
      </c>
      <c r="AL8" s="0" t="inlineStr">
        <is>
          <t/>
        </is>
      </c>
      <c r="AM8" s="0" t="inlineStr">
        <is>
          <t/>
        </is>
      </c>
      <c r="AN8" s="0" t="inlineStr">
        <is>
          <t/>
        </is>
      </c>
      <c r="AO8" s="0" t="inlineStr">
        <is>
          <t/>
        </is>
      </c>
      <c r="AP8" s="0" t="inlineStr">
        <is>
          <t/>
        </is>
      </c>
      <c r="AQ8" s="0" t="s">
        <v>88</v>
      </c>
      <c r="AR8" s="0" t="inlineStr">
        <is>
          <t/>
        </is>
      </c>
      <c r="AS8" s="0" t="s">
        <v>68</v>
      </c>
      <c r="AT8" s="0" t="inlineStr">
        <is>
          <t/>
        </is>
      </c>
      <c r="AU8" s="0" t="inlineStr">
        <is>
          <t/>
        </is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/>
      <c r="AZ8" s="0"/>
      <c r="BA8" s="0"/>
      <c r="BB8" s="0"/>
      <c r="BC8" s="0"/>
      <c r="BD8" s="0"/>
      <c r="BE8" s="0" t="inlineStr">
        <is>
          <t/>
        </is>
      </c>
      <c r="BF8" s="0" t="inlineStr">
        <is>
          <t/>
        </is>
      </c>
      <c r="BG8" s="0" t="inlineStr">
        <is>
          <t/>
        </is>
      </c>
    </row>
    <row r="9">
      <c r="A9" s="0" t="n">
        <v>952132</v>
      </c>
      <c r="B9" s="0"/>
      <c r="C9" s="0" t="s">
        <v>101</v>
      </c>
      <c r="D9" s="0"/>
      <c r="E9" s="0"/>
      <c r="F9" s="0"/>
      <c r="G9" s="0"/>
      <c r="H9" s="0" t="s">
        <v>99</v>
      </c>
      <c r="I9" s="0"/>
      <c r="J9" s="0"/>
      <c r="K9" s="0"/>
      <c r="L9" s="0" t="s">
        <v>99</v>
      </c>
      <c r="M9" s="0"/>
      <c r="N9" s="0"/>
      <c r="O9" s="0"/>
      <c r="P9" s="0"/>
      <c r="Q9" s="0"/>
      <c r="R9" s="0" t="s">
        <v>99</v>
      </c>
      <c r="S9" s="0"/>
      <c r="T9" s="0"/>
      <c r="U9" s="0"/>
      <c r="V9" s="0"/>
      <c r="W9" s="0"/>
      <c r="X9" s="0"/>
      <c r="Y9" s="0"/>
      <c r="Z9" s="0" t="str">
        <f>""</f>
      </c>
      <c r="AA9" s="0" t="str">
        <f>""</f>
      </c>
      <c r="AB9" s="0" t="str">
        <f>""</f>
      </c>
      <c r="AC9" s="0" t="s">
        <v>110</v>
      </c>
      <c r="AD9" s="0" t="s">
        <v>111</v>
      </c>
      <c r="AE9" s="0" t="s">
        <v>76</v>
      </c>
      <c r="AF9" s="0" t="str">
        <f>"30513"</f>
      </c>
      <c r="AG9" s="0"/>
      <c r="AH9" s="0" t="s">
        <v>65</v>
      </c>
      <c r="AI9" s="0" t="n">
        <v>841987</v>
      </c>
      <c r="AJ9" s="0" t="inlineStr">
        <is>
          <t/>
        </is>
      </c>
      <c r="AK9" s="0" t="s">
        <v>66</v>
      </c>
      <c r="AL9" s="0" t="inlineStr">
        <is>
          <t/>
        </is>
      </c>
      <c r="AM9" s="0" t="inlineStr">
        <is>
          <t/>
        </is>
      </c>
      <c r="AN9" s="0" t="inlineStr">
        <is>
          <t/>
        </is>
      </c>
      <c r="AO9" s="0" t="inlineStr">
        <is>
          <t/>
        </is>
      </c>
      <c r="AP9" s="0" t="inlineStr">
        <is>
          <t/>
        </is>
      </c>
      <c r="AQ9" s="0" t="s">
        <v>103</v>
      </c>
      <c r="AR9" s="0" t="inlineStr">
        <is>
          <t/>
        </is>
      </c>
      <c r="AS9" s="0" t="s">
        <v>68</v>
      </c>
      <c r="AT9" s="0" t="inlineStr">
        <is>
          <t/>
        </is>
      </c>
      <c r="AU9" s="0" t="inlineStr">
        <is>
          <t/>
        </is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/>
      <c r="AZ9" s="0"/>
      <c r="BA9" s="0"/>
      <c r="BB9" s="0"/>
      <c r="BC9" s="0"/>
      <c r="BD9" s="0"/>
      <c r="BE9" s="0" t="inlineStr">
        <is>
          <t/>
        </is>
      </c>
      <c r="BF9" s="0" t="inlineStr">
        <is>
          <t/>
        </is>
      </c>
      <c r="BG9" s="0" t="inlineStr">
        <is>
          <t/>
        </is>
      </c>
    </row>
    <row r="10">
      <c r="A10" s="0" t="n">
        <v>952207</v>
      </c>
      <c r="B10" s="0"/>
      <c r="C10" s="0" t="s">
        <v>59</v>
      </c>
      <c r="D10" s="0" t="s">
        <v>112</v>
      </c>
      <c r="E10" s="0" t="s">
        <v>113</v>
      </c>
      <c r="F10" s="0"/>
      <c r="G10" s="0"/>
      <c r="H10" s="0" t="s">
        <v>114</v>
      </c>
      <c r="I10" s="0" t="s">
        <v>114</v>
      </c>
      <c r="J10" s="0"/>
      <c r="K10" s="0" t="s">
        <v>112</v>
      </c>
      <c r="L10" s="0" t="s">
        <v>114</v>
      </c>
      <c r="M10" s="0" t="s">
        <v>112</v>
      </c>
      <c r="N10" s="0" t="s">
        <v>114</v>
      </c>
      <c r="O10" s="0"/>
      <c r="P10" s="0"/>
      <c r="Q10" s="0"/>
      <c r="R10" s="0" t="s">
        <v>115</v>
      </c>
      <c r="S10" s="0"/>
      <c r="T10" s="0"/>
      <c r="U10" s="0"/>
      <c r="V10" s="0"/>
      <c r="W10" s="0" t="s">
        <v>116</v>
      </c>
      <c r="X10" s="0" t="s">
        <v>65</v>
      </c>
      <c r="Y10" s="0" t="n">
        <v>282477</v>
      </c>
      <c r="Z10" s="0" t="str">
        <f>""</f>
      </c>
      <c r="AA10" s="0" t="str">
        <f>""</f>
      </c>
      <c r="AB10" s="0" t="str">
        <f>""</f>
      </c>
      <c r="AC10" s="0" t="inlineStr">
        <is>
          <t/>
        </is>
      </c>
      <c r="AD10" s="0"/>
      <c r="AE10" s="0"/>
      <c r="AF10" s="0" t="str">
        <f>""</f>
      </c>
      <c r="AG10" s="0"/>
      <c r="AH10" s="0"/>
      <c r="AI10" s="0"/>
      <c r="AJ10" s="0" t="inlineStr">
        <is>
          <t/>
        </is>
      </c>
      <c r="AK10" s="0" t="s">
        <v>66</v>
      </c>
      <c r="AL10" s="0" t="inlineStr">
        <is>
          <t/>
        </is>
      </c>
      <c r="AM10" s="0" t="inlineStr">
        <is>
          <t/>
        </is>
      </c>
      <c r="AN10" s="0" t="inlineStr">
        <is>
          <t/>
        </is>
      </c>
      <c r="AO10" s="0" t="inlineStr">
        <is>
          <t/>
        </is>
      </c>
      <c r="AP10" s="0" t="inlineStr">
        <is>
          <t/>
        </is>
      </c>
      <c r="AQ10" s="0" t="s">
        <v>67</v>
      </c>
      <c r="AR10" s="0" t="inlineStr">
        <is>
          <t/>
        </is>
      </c>
      <c r="AS10" s="0" t="s">
        <v>68</v>
      </c>
      <c r="AT10" s="0" t="s">
        <v>69</v>
      </c>
      <c r="AU10" s="0" t="inlineStr">
        <is>
          <t/>
        </is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/>
      <c r="AZ10" s="0"/>
      <c r="BA10" s="0"/>
      <c r="BB10" s="0"/>
      <c r="BC10" s="0"/>
      <c r="BD10" s="0"/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</row>
    <row r="11">
      <c r="A11" s="0" t="n">
        <v>952102</v>
      </c>
      <c r="B11" s="0"/>
      <c r="C11" s="0" t="s">
        <v>59</v>
      </c>
      <c r="D11" s="0" t="s">
        <v>117</v>
      </c>
      <c r="E11" s="0" t="s">
        <v>118</v>
      </c>
      <c r="F11" s="0"/>
      <c r="G11" s="0"/>
      <c r="H11" s="0" t="s">
        <v>119</v>
      </c>
      <c r="I11" s="0" t="s">
        <v>119</v>
      </c>
      <c r="J11" s="0" t="inlineStr">
        <is>
          <t/>
        </is>
      </c>
      <c r="K11" s="0" t="s">
        <v>117</v>
      </c>
      <c r="L11" s="0" t="s">
        <v>119</v>
      </c>
      <c r="M11" s="0" t="s">
        <v>117</v>
      </c>
      <c r="N11" s="0" t="s">
        <v>119</v>
      </c>
      <c r="O11" s="0"/>
      <c r="P11" s="0"/>
      <c r="Q11" s="0"/>
      <c r="R11" s="0" t="s">
        <v>84</v>
      </c>
      <c r="S11" s="0"/>
      <c r="T11" s="0"/>
      <c r="U11" s="0"/>
      <c r="V11" s="0"/>
      <c r="W11" s="0" t="s">
        <v>120</v>
      </c>
      <c r="X11" s="0" t="s">
        <v>65</v>
      </c>
      <c r="Y11" s="0" t="n">
        <v>282407</v>
      </c>
      <c r="Z11" s="0" t="str">
        <f>""</f>
      </c>
      <c r="AA11" s="0" t="str">
        <f>""</f>
      </c>
      <c r="AB11" s="0" t="str">
        <f>""</f>
      </c>
      <c r="AC11" s="0" t="inlineStr">
        <is>
          <t/>
        </is>
      </c>
      <c r="AD11" s="0" t="s">
        <v>84</v>
      </c>
      <c r="AE11" s="0" t="s">
        <v>76</v>
      </c>
      <c r="AF11" s="0" t="str">
        <f>"30075"</f>
      </c>
      <c r="AG11" s="0"/>
      <c r="AH11" s="0" t="s">
        <v>65</v>
      </c>
      <c r="AI11" s="0" t="n">
        <v>841957</v>
      </c>
      <c r="AJ11" s="0" t="inlineStr">
        <is>
          <t/>
        </is>
      </c>
      <c r="AK11" s="0" t="s">
        <v>66</v>
      </c>
      <c r="AL11" s="0" t="s">
        <v>121</v>
      </c>
      <c r="AM11" s="0" t="inlineStr">
        <is>
          <t/>
        </is>
      </c>
      <c r="AN11" s="0" t="inlineStr">
        <is>
          <t/>
        </is>
      </c>
      <c r="AO11" s="0" t="inlineStr">
        <is>
          <t/>
        </is>
      </c>
      <c r="AP11" s="0" t="s">
        <v>78</v>
      </c>
      <c r="AQ11" s="0" t="s">
        <v>67</v>
      </c>
      <c r="AR11" s="0" t="inlineStr">
        <is>
          <t/>
        </is>
      </c>
      <c r="AS11" s="0" t="s">
        <v>122</v>
      </c>
      <c r="AT11" s="0" t="s">
        <v>123</v>
      </c>
      <c r="AU11" s="0" t="inlineStr">
        <is>
          <t/>
        </is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/>
      <c r="AZ11" s="0"/>
      <c r="BA11" s="0"/>
      <c r="BB11" s="0"/>
      <c r="BC11" s="0"/>
      <c r="BD11" s="0"/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</row>
    <row r="12">
      <c r="A12" s="0" t="n">
        <v>952137</v>
      </c>
      <c r="B12" s="0"/>
      <c r="C12" s="0" t="s">
        <v>101</v>
      </c>
      <c r="D12" s="0"/>
      <c r="E12" s="0"/>
      <c r="F12" s="0"/>
      <c r="G12" s="0"/>
      <c r="H12" s="0" t="s">
        <v>124</v>
      </c>
      <c r="I12" s="0"/>
      <c r="J12" s="0"/>
      <c r="K12" s="0"/>
      <c r="L12" s="0" t="s">
        <v>124</v>
      </c>
      <c r="M12" s="0"/>
      <c r="N12" s="0"/>
      <c r="O12" s="0"/>
      <c r="P12" s="0"/>
      <c r="Q12" s="0"/>
      <c r="R12" s="0" t="s">
        <v>124</v>
      </c>
      <c r="S12" s="0"/>
      <c r="T12" s="0"/>
      <c r="U12" s="0"/>
      <c r="V12" s="0"/>
      <c r="W12" s="0"/>
      <c r="X12" s="0"/>
      <c r="Y12" s="0"/>
      <c r="Z12" s="0" t="str">
        <f>""</f>
      </c>
      <c r="AA12" s="0" t="str">
        <f>""</f>
      </c>
      <c r="AB12" s="0" t="str">
        <f>""</f>
      </c>
      <c r="AC12" s="0" t="s">
        <v>125</v>
      </c>
      <c r="AD12" s="0" t="s">
        <v>126</v>
      </c>
      <c r="AE12" s="0" t="s">
        <v>76</v>
      </c>
      <c r="AF12" s="0" t="str">
        <f>"31906"</f>
      </c>
      <c r="AG12" s="0"/>
      <c r="AH12" s="0" t="s">
        <v>65</v>
      </c>
      <c r="AI12" s="0" t="n">
        <v>841992</v>
      </c>
      <c r="AJ12" s="0" t="inlineStr">
        <is>
          <t/>
        </is>
      </c>
      <c r="AK12" s="0" t="s">
        <v>66</v>
      </c>
      <c r="AL12" s="0" t="inlineStr">
        <is>
          <t/>
        </is>
      </c>
      <c r="AM12" s="0" t="inlineStr">
        <is>
          <t/>
        </is>
      </c>
      <c r="AN12" s="0" t="inlineStr">
        <is>
          <t/>
        </is>
      </c>
      <c r="AO12" s="0" t="inlineStr">
        <is>
          <t/>
        </is>
      </c>
      <c r="AP12" s="0" t="inlineStr">
        <is>
          <t/>
        </is>
      </c>
      <c r="AQ12" s="0" t="s">
        <v>103</v>
      </c>
      <c r="AR12" s="0" t="inlineStr">
        <is>
          <t/>
        </is>
      </c>
      <c r="AS12" s="0" t="s">
        <v>68</v>
      </c>
      <c r="AT12" s="0" t="inlineStr">
        <is>
          <t/>
        </is>
      </c>
      <c r="AU12" s="0" t="inlineStr">
        <is>
          <t/>
        </is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/>
      <c r="AZ12" s="0"/>
      <c r="BA12" s="0"/>
      <c r="BB12" s="0"/>
      <c r="BC12" s="0"/>
      <c r="BD12" s="0"/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</row>
    <row r="13">
      <c r="A13" s="0" t="n">
        <v>952217</v>
      </c>
      <c r="B13" s="0" t="inlineStr">
        <is>
          <t/>
        </is>
      </c>
      <c r="C13" s="0" t="s">
        <v>59</v>
      </c>
      <c r="D13" s="0" t="s">
        <v>127</v>
      </c>
      <c r="E13" s="0" t="s">
        <v>128</v>
      </c>
      <c r="F13" s="0" t="inlineStr">
        <is>
          <t/>
        </is>
      </c>
      <c r="G13" s="0" t="inlineStr">
        <is>
          <t/>
        </is>
      </c>
      <c r="H13" s="0" t="s">
        <v>129</v>
      </c>
      <c r="I13" s="0" t="s">
        <v>129</v>
      </c>
      <c r="J13" s="0" t="inlineStr">
        <is>
          <t/>
        </is>
      </c>
      <c r="K13" s="0" t="s">
        <v>127</v>
      </c>
      <c r="L13" s="0" t="s">
        <v>129</v>
      </c>
      <c r="M13" s="0" t="s">
        <v>127</v>
      </c>
      <c r="N13" s="0" t="s">
        <v>129</v>
      </c>
      <c r="O13" s="0" t="inlineStr">
        <is>
          <t/>
        </is>
      </c>
      <c r="P13" s="0"/>
      <c r="Q13" s="0" t="inlineStr">
        <is>
          <t/>
        </is>
      </c>
      <c r="R13" s="0" t="s">
        <v>126</v>
      </c>
      <c r="S13" s="0"/>
      <c r="T13" s="0"/>
      <c r="U13" s="0"/>
      <c r="V13" s="0"/>
      <c r="W13" s="0" t="s">
        <v>130</v>
      </c>
      <c r="X13" s="0" t="s">
        <v>65</v>
      </c>
      <c r="Y13" s="0" t="n">
        <v>282487</v>
      </c>
      <c r="Z13" s="0" t="str">
        <f>""</f>
      </c>
      <c r="AA13" s="0" t="str">
        <f>""</f>
      </c>
      <c r="AB13" s="0" t="str">
        <f>""</f>
      </c>
      <c r="AC13" s="0" t="inlineStr">
        <is>
          <t/>
        </is>
      </c>
      <c r="AD13" s="0"/>
      <c r="AE13" s="0"/>
      <c r="AF13" s="0" t="str">
        <f>""</f>
      </c>
      <c r="AG13" s="0"/>
      <c r="AH13" s="0"/>
      <c r="AI13" s="0"/>
      <c r="AJ13" s="0" t="inlineStr">
        <is>
          <t/>
        </is>
      </c>
      <c r="AK13" s="0" t="s">
        <v>66</v>
      </c>
      <c r="AL13" s="0" t="s">
        <v>131</v>
      </c>
      <c r="AM13" s="0" t="inlineStr">
        <is>
          <t/>
        </is>
      </c>
      <c r="AN13" s="0" t="inlineStr">
        <is>
          <t/>
        </is>
      </c>
      <c r="AO13" s="0" t="inlineStr">
        <is>
          <t/>
        </is>
      </c>
      <c r="AP13" s="0" t="s">
        <v>78</v>
      </c>
      <c r="AQ13" s="0" t="s">
        <v>67</v>
      </c>
      <c r="AR13" s="0" t="inlineStr">
        <is>
          <t/>
        </is>
      </c>
      <c r="AS13" s="0" t="s">
        <v>68</v>
      </c>
      <c r="AT13" s="0" t="s">
        <v>132</v>
      </c>
      <c r="AU13" s="0" t="inlineStr">
        <is>
          <t/>
        </is>
      </c>
      <c r="AV13" s="0" t="inlineStr">
        <is>
          <t/>
        </is>
      </c>
      <c r="AW13" s="0" t="n">
        <v>6900</v>
      </c>
      <c r="AX13" s="0" t="inlineStr">
        <is>
          <t/>
        </is>
      </c>
      <c r="AY13" s="0" t="inlineStr">
        <is>
          <t/>
        </is>
      </c>
      <c r="AZ13" s="0"/>
      <c r="BA13" s="0"/>
      <c r="BB13" s="0"/>
      <c r="BC13" s="0"/>
      <c r="BD13" s="0"/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</row>
    <row r="14">
      <c r="A14" s="0" t="n">
        <v>952142</v>
      </c>
      <c r="B14" s="0"/>
      <c r="C14" s="0" t="s">
        <v>101</v>
      </c>
      <c r="D14" s="0"/>
      <c r="E14" s="0"/>
      <c r="F14" s="0"/>
      <c r="G14" s="0"/>
      <c r="H14" s="0" t="s">
        <v>133</v>
      </c>
      <c r="I14" s="0"/>
      <c r="J14" s="0"/>
      <c r="K14" s="0"/>
      <c r="L14" s="0" t="s">
        <v>133</v>
      </c>
      <c r="M14" s="0"/>
      <c r="N14" s="0"/>
      <c r="O14" s="0"/>
      <c r="P14" s="0"/>
      <c r="Q14" s="0"/>
      <c r="R14" s="0" t="s">
        <v>133</v>
      </c>
      <c r="S14" s="0"/>
      <c r="T14" s="0"/>
      <c r="U14" s="0"/>
      <c r="V14" s="0"/>
      <c r="W14" s="0"/>
      <c r="X14" s="0"/>
      <c r="Y14" s="0"/>
      <c r="Z14" s="0" t="str">
        <f>""</f>
      </c>
      <c r="AA14" s="0" t="str">
        <f>""</f>
      </c>
      <c r="AB14" s="0" t="str">
        <f>""</f>
      </c>
      <c r="AC14" s="0" t="s">
        <v>134</v>
      </c>
      <c r="AD14" s="0" t="s">
        <v>84</v>
      </c>
      <c r="AE14" s="0" t="s">
        <v>76</v>
      </c>
      <c r="AF14" s="0" t="str">
        <f>"30075"</f>
      </c>
      <c r="AG14" s="0"/>
      <c r="AH14" s="0" t="s">
        <v>65</v>
      </c>
      <c r="AI14" s="0" t="n">
        <v>841997</v>
      </c>
      <c r="AJ14" s="0" t="inlineStr">
        <is>
          <t/>
        </is>
      </c>
      <c r="AK14" s="0" t="s">
        <v>66</v>
      </c>
      <c r="AL14" s="0" t="inlineStr">
        <is>
          <t/>
        </is>
      </c>
      <c r="AM14" s="0" t="inlineStr">
        <is>
          <t/>
        </is>
      </c>
      <c r="AN14" s="0" t="inlineStr">
        <is>
          <t/>
        </is>
      </c>
      <c r="AO14" s="0" t="inlineStr">
        <is>
          <t/>
        </is>
      </c>
      <c r="AP14" s="0" t="inlineStr">
        <is>
          <t/>
        </is>
      </c>
      <c r="AQ14" s="0" t="s">
        <v>103</v>
      </c>
      <c r="AR14" s="0" t="inlineStr">
        <is>
          <t/>
        </is>
      </c>
      <c r="AS14" s="0" t="s">
        <v>68</v>
      </c>
      <c r="AT14" s="0" t="inlineStr">
        <is>
          <t/>
        </is>
      </c>
      <c r="AU14" s="0" t="inlineStr">
        <is>
          <t/>
        </is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/>
      <c r="AZ14" s="0"/>
      <c r="BA14" s="0"/>
      <c r="BB14" s="0"/>
      <c r="BC14" s="0"/>
      <c r="BD14" s="0"/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</row>
    <row r="15">
      <c r="A15" s="0" t="n">
        <v>952227</v>
      </c>
      <c r="B15" s="0"/>
      <c r="C15" s="0" t="s">
        <v>59</v>
      </c>
      <c r="D15" s="0" t="s">
        <v>135</v>
      </c>
      <c r="E15" s="0" t="s">
        <v>136</v>
      </c>
      <c r="F15" s="0" t="inlineStr">
        <is>
          <t/>
        </is>
      </c>
      <c r="G15" s="0"/>
      <c r="H15" s="0" t="s">
        <v>137</v>
      </c>
      <c r="I15" s="0" t="s">
        <v>137</v>
      </c>
      <c r="J15" s="0" t="inlineStr">
        <is>
          <t/>
        </is>
      </c>
      <c r="K15" s="0" t="s">
        <v>135</v>
      </c>
      <c r="L15" s="0" t="s">
        <v>137</v>
      </c>
      <c r="M15" s="0" t="s">
        <v>135</v>
      </c>
      <c r="N15" s="0" t="s">
        <v>137</v>
      </c>
      <c r="O15" s="0"/>
      <c r="P15" s="0"/>
      <c r="Q15" s="0" t="inlineStr">
        <is>
          <t/>
        </is>
      </c>
      <c r="R15" s="0" t="inlineStr">
        <is>
          <t/>
        </is>
      </c>
      <c r="S15" s="0"/>
      <c r="T15" s="0"/>
      <c r="U15" s="0"/>
      <c r="V15" s="0"/>
      <c r="W15" s="0"/>
      <c r="X15" s="0"/>
      <c r="Y15" s="0"/>
      <c r="Z15" s="0" t="str">
        <f>""</f>
      </c>
      <c r="AA15" s="0" t="str">
        <f>""</f>
      </c>
      <c r="AB15" s="0" t="str">
        <f>""</f>
      </c>
      <c r="AC15" s="0" t="inlineStr">
        <is>
          <t/>
        </is>
      </c>
      <c r="AD15" s="0"/>
      <c r="AE15" s="0"/>
      <c r="AF15" s="0" t="str">
        <f>""</f>
      </c>
      <c r="AG15" s="0"/>
      <c r="AH15" s="0"/>
      <c r="AI15" s="0"/>
      <c r="AJ15" s="0" t="inlineStr">
        <is>
          <t/>
        </is>
      </c>
      <c r="AK15" s="0" t="s">
        <v>66</v>
      </c>
      <c r="AL15" s="0" t="inlineStr">
        <is>
          <t/>
        </is>
      </c>
      <c r="AM15" s="0" t="inlineStr">
        <is>
          <t/>
        </is>
      </c>
      <c r="AN15" s="0" t="inlineStr">
        <is>
          <t/>
        </is>
      </c>
      <c r="AO15" s="0" t="inlineStr">
        <is>
          <t/>
        </is>
      </c>
      <c r="AP15" s="0" t="inlineStr">
        <is>
          <t/>
        </is>
      </c>
      <c r="AQ15" s="0" t="s">
        <v>138</v>
      </c>
      <c r="AR15" s="0" t="inlineStr">
        <is>
          <t/>
        </is>
      </c>
      <c r="AS15" s="0" t="s">
        <v>68</v>
      </c>
      <c r="AT15" s="0" t="inlineStr">
        <is>
          <t/>
        </is>
      </c>
      <c r="AU15" s="0" t="inlineStr">
        <is>
          <t/>
        </is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/>
      <c r="BA15" s="0"/>
      <c r="BB15" s="0"/>
      <c r="BC15" s="0"/>
      <c r="BD15" s="0"/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</row>
    <row r="16">
      <c r="A16" s="0" t="n">
        <v>952147</v>
      </c>
      <c r="B16" s="0"/>
      <c r="C16" s="0" t="s">
        <v>101</v>
      </c>
      <c r="D16" s="0"/>
      <c r="E16" s="0"/>
      <c r="F16" s="0"/>
      <c r="G16" s="0"/>
      <c r="H16" s="0" t="s">
        <v>139</v>
      </c>
      <c r="I16" s="0"/>
      <c r="J16" s="0"/>
      <c r="K16" s="0"/>
      <c r="L16" s="0" t="s">
        <v>139</v>
      </c>
      <c r="M16" s="0"/>
      <c r="N16" s="0"/>
      <c r="O16" s="0"/>
      <c r="P16" s="0"/>
      <c r="Q16" s="0"/>
      <c r="R16" s="0" t="s">
        <v>139</v>
      </c>
      <c r="S16" s="0"/>
      <c r="T16" s="0"/>
      <c r="U16" s="0"/>
      <c r="V16" s="0"/>
      <c r="W16" s="0"/>
      <c r="X16" s="0"/>
      <c r="Y16" s="0"/>
      <c r="Z16" s="0" t="str">
        <f>""</f>
      </c>
      <c r="AA16" s="0" t="str">
        <f>""</f>
      </c>
      <c r="AB16" s="0" t="str">
        <f>""</f>
      </c>
      <c r="AC16" s="0" t="s">
        <v>140</v>
      </c>
      <c r="AD16" s="0" t="s">
        <v>87</v>
      </c>
      <c r="AE16" s="0" t="s">
        <v>76</v>
      </c>
      <c r="AF16" s="0" t="str">
        <f>"30066"</f>
      </c>
      <c r="AG16" s="0"/>
      <c r="AH16" s="0" t="s">
        <v>65</v>
      </c>
      <c r="AI16" s="0" t="n">
        <v>842002</v>
      </c>
      <c r="AJ16" s="0" t="inlineStr">
        <is>
          <t/>
        </is>
      </c>
      <c r="AK16" s="0" t="s">
        <v>66</v>
      </c>
      <c r="AL16" s="0" t="inlineStr">
        <is>
          <t/>
        </is>
      </c>
      <c r="AM16" s="0" t="inlineStr">
        <is>
          <t/>
        </is>
      </c>
      <c r="AN16" s="0" t="inlineStr">
        <is>
          <t/>
        </is>
      </c>
      <c r="AO16" s="0" t="inlineStr">
        <is>
          <t/>
        </is>
      </c>
      <c r="AP16" s="0" t="inlineStr">
        <is>
          <t/>
        </is>
      </c>
      <c r="AQ16" s="0" t="s">
        <v>103</v>
      </c>
      <c r="AR16" s="0" t="inlineStr">
        <is>
          <t/>
        </is>
      </c>
      <c r="AS16" s="0" t="s">
        <v>68</v>
      </c>
      <c r="AT16" s="0" t="inlineStr">
        <is>
          <t/>
        </is>
      </c>
      <c r="AU16" s="0" t="inlineStr">
        <is>
          <t/>
        </is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/>
      <c r="AZ16" s="0"/>
      <c r="BA16" s="0"/>
      <c r="BB16" s="0"/>
      <c r="BC16" s="0"/>
      <c r="BD16" s="0"/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</row>
    <row r="17">
      <c r="A17" s="0" t="n">
        <v>952197</v>
      </c>
      <c r="B17" s="0"/>
      <c r="C17" s="0" t="s">
        <v>59</v>
      </c>
      <c r="D17" s="0" t="s">
        <v>141</v>
      </c>
      <c r="E17" s="0" t="s">
        <v>142</v>
      </c>
      <c r="F17" s="0"/>
      <c r="G17" s="0"/>
      <c r="H17" s="0" t="s">
        <v>143</v>
      </c>
      <c r="I17" s="0" t="s">
        <v>143</v>
      </c>
      <c r="J17" s="0"/>
      <c r="K17" s="0" t="s">
        <v>141</v>
      </c>
      <c r="L17" s="0" t="s">
        <v>143</v>
      </c>
      <c r="M17" s="0" t="s">
        <v>141</v>
      </c>
      <c r="N17" s="0" t="s">
        <v>143</v>
      </c>
      <c r="O17" s="0"/>
      <c r="P17" s="0"/>
      <c r="Q17" s="0"/>
      <c r="R17" s="0" t="s">
        <v>139</v>
      </c>
      <c r="S17" s="0"/>
      <c r="T17" s="0"/>
      <c r="U17" s="0"/>
      <c r="V17" s="0"/>
      <c r="W17" s="0" t="s">
        <v>144</v>
      </c>
      <c r="X17" s="0" t="s">
        <v>65</v>
      </c>
      <c r="Y17" s="0" t="n">
        <v>282467</v>
      </c>
      <c r="Z17" s="0" t="str">
        <f>""</f>
      </c>
      <c r="AA17" s="0" t="str">
        <f>""</f>
      </c>
      <c r="AB17" s="0" t="str">
        <f>""</f>
      </c>
      <c r="AC17" s="0" t="inlineStr">
        <is>
          <t/>
        </is>
      </c>
      <c r="AD17" s="0"/>
      <c r="AE17" s="0"/>
      <c r="AF17" s="0" t="str">
        <f>""</f>
      </c>
      <c r="AG17" s="0"/>
      <c r="AH17" s="0"/>
      <c r="AI17" s="0"/>
      <c r="AJ17" s="0" t="inlineStr">
        <is>
          <t/>
        </is>
      </c>
      <c r="AK17" s="0" t="s">
        <v>66</v>
      </c>
      <c r="AL17" s="0" t="inlineStr">
        <is>
          <t/>
        </is>
      </c>
      <c r="AM17" s="0" t="inlineStr">
        <is>
          <t/>
        </is>
      </c>
      <c r="AN17" s="0" t="inlineStr">
        <is>
          <t/>
        </is>
      </c>
      <c r="AO17" s="0" t="inlineStr">
        <is>
          <t/>
        </is>
      </c>
      <c r="AP17" s="0" t="inlineStr">
        <is>
          <t/>
        </is>
      </c>
      <c r="AQ17" s="0" t="s">
        <v>67</v>
      </c>
      <c r="AR17" s="0" t="inlineStr">
        <is>
          <t/>
        </is>
      </c>
      <c r="AS17" s="0" t="s">
        <v>68</v>
      </c>
      <c r="AT17" s="0" t="s">
        <v>69</v>
      </c>
      <c r="AU17" s="0" t="inlineStr">
        <is>
          <t/>
        </is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/>
      <c r="AZ17" s="0"/>
      <c r="BA17" s="0"/>
      <c r="BB17" s="0"/>
      <c r="BC17" s="0"/>
      <c r="BD17" s="0"/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</row>
    <row r="18">
      <c r="A18" s="0" t="n">
        <v>952182</v>
      </c>
      <c r="B18" s="0"/>
      <c r="C18" s="0" t="s">
        <v>59</v>
      </c>
      <c r="D18" s="0" t="s">
        <v>145</v>
      </c>
      <c r="E18" s="0" t="s">
        <v>146</v>
      </c>
      <c r="F18" s="0"/>
      <c r="G18" s="0"/>
      <c r="H18" s="0" t="s">
        <v>147</v>
      </c>
      <c r="I18" s="0" t="s">
        <v>147</v>
      </c>
      <c r="J18" s="0"/>
      <c r="K18" s="0" t="s">
        <v>145</v>
      </c>
      <c r="L18" s="0" t="s">
        <v>147</v>
      </c>
      <c r="M18" s="0" t="s">
        <v>145</v>
      </c>
      <c r="N18" s="0" t="s">
        <v>147</v>
      </c>
      <c r="O18" s="0"/>
      <c r="P18" s="0"/>
      <c r="Q18" s="0"/>
      <c r="R18" s="0" t="s">
        <v>124</v>
      </c>
      <c r="S18" s="0"/>
      <c r="T18" s="0"/>
      <c r="U18" s="0"/>
      <c r="V18" s="0"/>
      <c r="W18" s="0" t="s">
        <v>148</v>
      </c>
      <c r="X18" s="0" t="s">
        <v>65</v>
      </c>
      <c r="Y18" s="0" t="n">
        <v>282452</v>
      </c>
      <c r="Z18" s="0" t="str">
        <f>""</f>
      </c>
      <c r="AA18" s="0" t="str">
        <f>""</f>
      </c>
      <c r="AB18" s="0" t="str">
        <f>""</f>
      </c>
      <c r="AC18" s="0" t="inlineStr">
        <is>
          <t/>
        </is>
      </c>
      <c r="AD18" s="0"/>
      <c r="AE18" s="0"/>
      <c r="AF18" s="0" t="str">
        <f>""</f>
      </c>
      <c r="AG18" s="0"/>
      <c r="AH18" s="0"/>
      <c r="AI18" s="0"/>
      <c r="AJ18" s="0" t="inlineStr">
        <is>
          <t/>
        </is>
      </c>
      <c r="AK18" s="0" t="s">
        <v>66</v>
      </c>
      <c r="AL18" s="0" t="inlineStr">
        <is>
          <t/>
        </is>
      </c>
      <c r="AM18" s="0" t="inlineStr">
        <is>
          <t/>
        </is>
      </c>
      <c r="AN18" s="0" t="inlineStr">
        <is>
          <t/>
        </is>
      </c>
      <c r="AO18" s="0" t="inlineStr">
        <is>
          <t/>
        </is>
      </c>
      <c r="AP18" s="0" t="inlineStr">
        <is>
          <t/>
        </is>
      </c>
      <c r="AQ18" s="0" t="s">
        <v>67</v>
      </c>
      <c r="AR18" s="0" t="inlineStr">
        <is>
          <t/>
        </is>
      </c>
      <c r="AS18" s="0" t="s">
        <v>68</v>
      </c>
      <c r="AT18" s="0" t="s">
        <v>149</v>
      </c>
      <c r="AU18" s="0" t="inlineStr">
        <is>
          <t/>
        </is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/>
      <c r="AZ18" s="0"/>
      <c r="BA18" s="0"/>
      <c r="BB18" s="0"/>
      <c r="BC18" s="0"/>
      <c r="BD18" s="0"/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</row>
    <row r="19">
      <c r="A19" s="0" t="n">
        <v>952107</v>
      </c>
      <c r="B19" s="0"/>
      <c r="C19" s="0" t="s">
        <v>59</v>
      </c>
      <c r="D19" s="0" t="s">
        <v>150</v>
      </c>
      <c r="E19" s="0" t="s">
        <v>151</v>
      </c>
      <c r="F19" s="0"/>
      <c r="G19" s="0"/>
      <c r="H19" s="0" t="s">
        <v>152</v>
      </c>
      <c r="I19" s="0" t="s">
        <v>152</v>
      </c>
      <c r="J19" s="0"/>
      <c r="K19" s="0" t="s">
        <v>153</v>
      </c>
      <c r="L19" s="0" t="s">
        <v>152</v>
      </c>
      <c r="M19" s="0" t="s">
        <v>153</v>
      </c>
      <c r="N19" s="0" t="s">
        <v>152</v>
      </c>
      <c r="O19" s="0"/>
      <c r="P19" s="0"/>
      <c r="Q19" s="0"/>
      <c r="R19" s="0" t="s">
        <v>154</v>
      </c>
      <c r="S19" s="0"/>
      <c r="T19" s="0"/>
      <c r="U19" s="0"/>
      <c r="V19" s="0"/>
      <c r="W19" s="0" t="s">
        <v>155</v>
      </c>
      <c r="X19" s="0" t="s">
        <v>65</v>
      </c>
      <c r="Y19" s="0" t="n">
        <v>282412</v>
      </c>
      <c r="Z19" s="0" t="str">
        <f>""</f>
      </c>
      <c r="AA19" s="0" t="str">
        <f>""</f>
      </c>
      <c r="AB19" s="0" t="str">
        <f>""</f>
      </c>
      <c r="AC19" s="0" t="s">
        <v>156</v>
      </c>
      <c r="AD19" s="0" t="s">
        <v>126</v>
      </c>
      <c r="AE19" s="0" t="s">
        <v>76</v>
      </c>
      <c r="AF19" s="0" t="str">
        <f>"31904"</f>
      </c>
      <c r="AG19" s="0"/>
      <c r="AH19" s="0" t="s">
        <v>65</v>
      </c>
      <c r="AI19" s="0" t="n">
        <v>841962</v>
      </c>
      <c r="AJ19" s="0" t="inlineStr">
        <is>
          <t/>
        </is>
      </c>
      <c r="AK19" s="0" t="s">
        <v>66</v>
      </c>
      <c r="AL19" s="0" t="inlineStr">
        <is>
          <t/>
        </is>
      </c>
      <c r="AM19" s="0" t="inlineStr">
        <is>
          <t/>
        </is>
      </c>
      <c r="AN19" s="0" t="inlineStr">
        <is>
          <t/>
        </is>
      </c>
      <c r="AO19" s="0" t="inlineStr">
        <is>
          <t/>
        </is>
      </c>
      <c r="AP19" s="0" t="s">
        <v>78</v>
      </c>
      <c r="AQ19" s="0" t="s">
        <v>88</v>
      </c>
      <c r="AR19" s="0" t="inlineStr">
        <is>
          <t/>
        </is>
      </c>
      <c r="AS19" s="0" t="s">
        <v>157</v>
      </c>
      <c r="AT19" s="0" t="inlineStr">
        <is>
          <t/>
        </is>
      </c>
      <c r="AU19" s="0" t="inlineStr">
        <is>
          <t/>
        </is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/>
      <c r="AZ19" s="0"/>
      <c r="BA19" s="0"/>
      <c r="BB19" s="0"/>
      <c r="BC19" s="0"/>
      <c r="BD19" s="0"/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</row>
    <row r="20">
      <c r="A20" s="0" t="n">
        <v>952112</v>
      </c>
      <c r="B20" s="0"/>
      <c r="C20" s="0" t="s">
        <v>59</v>
      </c>
      <c r="D20" s="0" t="s">
        <v>158</v>
      </c>
      <c r="E20" s="0" t="s">
        <v>159</v>
      </c>
      <c r="F20" s="0"/>
      <c r="G20" s="0"/>
      <c r="H20" s="0" t="s">
        <v>160</v>
      </c>
      <c r="I20" s="0" t="s">
        <v>160</v>
      </c>
      <c r="J20" s="0" t="s">
        <v>161</v>
      </c>
      <c r="K20" s="0" t="s">
        <v>158</v>
      </c>
      <c r="L20" s="0" t="s">
        <v>160</v>
      </c>
      <c r="M20" s="0" t="s">
        <v>158</v>
      </c>
      <c r="N20" s="0" t="s">
        <v>160</v>
      </c>
      <c r="O20" s="0"/>
      <c r="P20" s="0"/>
      <c r="Q20" s="0"/>
      <c r="R20" s="0"/>
      <c r="S20" s="0"/>
      <c r="T20" s="0"/>
      <c r="U20" s="0"/>
      <c r="V20" s="0"/>
      <c r="W20" s="0" t="s">
        <v>162</v>
      </c>
      <c r="X20" s="0" t="s">
        <v>65</v>
      </c>
      <c r="Y20" s="0" t="n">
        <v>282417</v>
      </c>
      <c r="Z20" s="0" t="str">
        <f>""</f>
      </c>
      <c r="AA20" s="0" t="str">
        <f>""</f>
      </c>
      <c r="AB20" s="0" t="str">
        <f>""</f>
      </c>
      <c r="AC20" s="0" t="s">
        <v>163</v>
      </c>
      <c r="AD20" s="0" t="s">
        <v>109</v>
      </c>
      <c r="AE20" s="0" t="s">
        <v>76</v>
      </c>
      <c r="AF20" s="0" t="str">
        <f>"30327"</f>
      </c>
      <c r="AG20" s="0"/>
      <c r="AH20" s="0" t="s">
        <v>65</v>
      </c>
      <c r="AI20" s="0" t="n">
        <v>841967</v>
      </c>
      <c r="AJ20" s="0" t="inlineStr">
        <is>
          <t/>
        </is>
      </c>
      <c r="AK20" s="0" t="s">
        <v>66</v>
      </c>
      <c r="AL20" s="0" t="inlineStr">
        <is>
          <t/>
        </is>
      </c>
      <c r="AM20" s="0" t="inlineStr">
        <is>
          <t/>
        </is>
      </c>
      <c r="AN20" s="0" t="inlineStr">
        <is>
          <t/>
        </is>
      </c>
      <c r="AO20" s="0" t="inlineStr">
        <is>
          <t/>
        </is>
      </c>
      <c r="AP20" s="0" t="inlineStr">
        <is>
          <t/>
        </is>
      </c>
      <c r="AQ20" s="0" t="s">
        <v>88</v>
      </c>
      <c r="AR20" s="0" t="inlineStr">
        <is>
          <t/>
        </is>
      </c>
      <c r="AS20" s="0" t="s">
        <v>122</v>
      </c>
      <c r="AT20" s="0" t="inlineStr">
        <is>
          <t/>
        </is>
      </c>
      <c r="AU20" s="0" t="inlineStr">
        <is>
          <t/>
        </is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s">
        <v>164</v>
      </c>
      <c r="AZ20" s="0"/>
      <c r="BA20" s="0"/>
      <c r="BB20" s="0"/>
      <c r="BC20" s="0"/>
      <c r="BD20" s="0"/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</row>
    <row r="21">
      <c r="A21" s="0" t="n">
        <v>952212</v>
      </c>
      <c r="B21" s="0"/>
      <c r="C21" s="0" t="s">
        <v>59</v>
      </c>
      <c r="D21" s="0" t="s">
        <v>165</v>
      </c>
      <c r="E21" s="0" t="s">
        <v>166</v>
      </c>
      <c r="F21" s="0"/>
      <c r="G21" s="0"/>
      <c r="H21" s="0" t="s">
        <v>167</v>
      </c>
      <c r="I21" s="0" t="s">
        <v>167</v>
      </c>
      <c r="J21" s="0"/>
      <c r="K21" s="0" t="s">
        <v>165</v>
      </c>
      <c r="L21" s="0" t="s">
        <v>167</v>
      </c>
      <c r="M21" s="0" t="s">
        <v>165</v>
      </c>
      <c r="N21" s="0" t="s">
        <v>167</v>
      </c>
      <c r="O21" s="0"/>
      <c r="P21" s="0"/>
      <c r="Q21" s="0"/>
      <c r="R21" s="0" t="s">
        <v>115</v>
      </c>
      <c r="S21" s="0"/>
      <c r="T21" s="0"/>
      <c r="U21" s="0"/>
      <c r="V21" s="0"/>
      <c r="W21" s="0" t="s">
        <v>168</v>
      </c>
      <c r="X21" s="0" t="s">
        <v>65</v>
      </c>
      <c r="Y21" s="0" t="n">
        <v>282482</v>
      </c>
      <c r="Z21" s="0" t="str">
        <f>""</f>
      </c>
      <c r="AA21" s="0" t="str">
        <f>""</f>
      </c>
      <c r="AB21" s="0" t="str">
        <f>""</f>
      </c>
      <c r="AC21" s="0" t="inlineStr">
        <is>
          <t/>
        </is>
      </c>
      <c r="AD21" s="0"/>
      <c r="AE21" s="0"/>
      <c r="AF21" s="0" t="str">
        <f>""</f>
      </c>
      <c r="AG21" s="0"/>
      <c r="AH21" s="0"/>
      <c r="AI21" s="0"/>
      <c r="AJ21" s="0" t="inlineStr">
        <is>
          <t/>
        </is>
      </c>
      <c r="AK21" s="0" t="s">
        <v>66</v>
      </c>
      <c r="AL21" s="0" t="inlineStr">
        <is>
          <t/>
        </is>
      </c>
      <c r="AM21" s="0" t="inlineStr">
        <is>
          <t/>
        </is>
      </c>
      <c r="AN21" s="0" t="inlineStr">
        <is>
          <t/>
        </is>
      </c>
      <c r="AO21" s="0" t="inlineStr">
        <is>
          <t/>
        </is>
      </c>
      <c r="AP21" s="0" t="inlineStr">
        <is>
          <t/>
        </is>
      </c>
      <c r="AQ21" s="0" t="s">
        <v>67</v>
      </c>
      <c r="AR21" s="0" t="inlineStr">
        <is>
          <t/>
        </is>
      </c>
      <c r="AS21" s="0" t="s">
        <v>68</v>
      </c>
      <c r="AT21" s="0" t="s">
        <v>149</v>
      </c>
      <c r="AU21" s="0" t="inlineStr">
        <is>
          <t/>
        </is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/>
      <c r="AZ21" s="0"/>
      <c r="BA21" s="0"/>
      <c r="BB21" s="0"/>
      <c r="BC21" s="0"/>
      <c r="BD21" s="0"/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</row>
    <row r="22">
      <c r="A22" s="0" t="n">
        <v>952167</v>
      </c>
      <c r="B22" s="0"/>
      <c r="C22" s="0" t="s">
        <v>59</v>
      </c>
      <c r="D22" s="0" t="s">
        <v>169</v>
      </c>
      <c r="E22" s="0" t="s">
        <v>170</v>
      </c>
      <c r="F22" s="0"/>
      <c r="G22" s="0"/>
      <c r="H22" s="0" t="s">
        <v>171</v>
      </c>
      <c r="I22" s="0" t="s">
        <v>171</v>
      </c>
      <c r="J22" s="0"/>
      <c r="K22" s="0" t="s">
        <v>169</v>
      </c>
      <c r="L22" s="0" t="s">
        <v>171</v>
      </c>
      <c r="M22" s="0" t="s">
        <v>169</v>
      </c>
      <c r="N22" s="0" t="s">
        <v>171</v>
      </c>
      <c r="O22" s="0"/>
      <c r="P22" s="0"/>
      <c r="Q22" s="0"/>
      <c r="R22" s="0" t="s">
        <v>63</v>
      </c>
      <c r="S22" s="0"/>
      <c r="T22" s="0"/>
      <c r="U22" s="0"/>
      <c r="V22" s="0"/>
      <c r="W22" s="0" t="s">
        <v>172</v>
      </c>
      <c r="X22" s="0" t="s">
        <v>65</v>
      </c>
      <c r="Y22" s="0" t="n">
        <v>282437</v>
      </c>
      <c r="Z22" s="0" t="str">
        <f>""</f>
      </c>
      <c r="AA22" s="0" t="str">
        <f>""</f>
      </c>
      <c r="AB22" s="0" t="str">
        <f>""</f>
      </c>
      <c r="AC22" s="0" t="inlineStr">
        <is>
          <t/>
        </is>
      </c>
      <c r="AD22" s="0"/>
      <c r="AE22" s="0"/>
      <c r="AF22" s="0" t="str">
        <f>""</f>
      </c>
      <c r="AG22" s="0"/>
      <c r="AH22" s="0"/>
      <c r="AI22" s="0"/>
      <c r="AJ22" s="0" t="inlineStr">
        <is>
          <t/>
        </is>
      </c>
      <c r="AK22" s="0" t="s">
        <v>66</v>
      </c>
      <c r="AL22" s="0" t="inlineStr">
        <is>
          <t/>
        </is>
      </c>
      <c r="AM22" s="0" t="inlineStr">
        <is>
          <t/>
        </is>
      </c>
      <c r="AN22" s="0" t="inlineStr">
        <is>
          <t/>
        </is>
      </c>
      <c r="AO22" s="0" t="inlineStr">
        <is>
          <t/>
        </is>
      </c>
      <c r="AP22" s="0" t="inlineStr">
        <is>
          <t/>
        </is>
      </c>
      <c r="AQ22" s="0" t="s">
        <v>67</v>
      </c>
      <c r="AR22" s="0" t="inlineStr">
        <is>
          <t/>
        </is>
      </c>
      <c r="AS22" s="0" t="s">
        <v>68</v>
      </c>
      <c r="AT22" s="0" t="s">
        <v>149</v>
      </c>
      <c r="AU22" s="0" t="inlineStr">
        <is>
          <t/>
        </is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/>
      <c r="AZ22" s="0"/>
      <c r="BA22" s="0"/>
      <c r="BB22" s="0"/>
      <c r="BC22" s="0"/>
      <c r="BD22" s="0"/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</row>
    <row r="23">
      <c r="A23" s="0" t="n">
        <v>952177</v>
      </c>
      <c r="B23" s="0"/>
      <c r="C23" s="0" t="s">
        <v>59</v>
      </c>
      <c r="D23" s="0" t="s">
        <v>173</v>
      </c>
      <c r="E23" s="0" t="s">
        <v>174</v>
      </c>
      <c r="F23" s="0"/>
      <c r="G23" s="0"/>
      <c r="H23" s="0" t="s">
        <v>175</v>
      </c>
      <c r="I23" s="0" t="s">
        <v>175</v>
      </c>
      <c r="J23" s="0"/>
      <c r="K23" s="0" t="s">
        <v>173</v>
      </c>
      <c r="L23" s="0" t="s">
        <v>175</v>
      </c>
      <c r="M23" s="0" t="s">
        <v>173</v>
      </c>
      <c r="N23" s="0" t="s">
        <v>175</v>
      </c>
      <c r="O23" s="0"/>
      <c r="P23" s="0"/>
      <c r="Q23" s="0"/>
      <c r="R23" s="0" t="s">
        <v>99</v>
      </c>
      <c r="S23" s="0"/>
      <c r="T23" s="0"/>
      <c r="U23" s="0"/>
      <c r="V23" s="0"/>
      <c r="W23" s="0" t="s">
        <v>176</v>
      </c>
      <c r="X23" s="0" t="s">
        <v>65</v>
      </c>
      <c r="Y23" s="0" t="n">
        <v>282447</v>
      </c>
      <c r="Z23" s="0" t="str">
        <f>""</f>
      </c>
      <c r="AA23" s="0" t="str">
        <f>""</f>
      </c>
      <c r="AB23" s="0" t="str">
        <f>""</f>
      </c>
      <c r="AC23" s="0" t="inlineStr">
        <is>
          <t/>
        </is>
      </c>
      <c r="AD23" s="0"/>
      <c r="AE23" s="0"/>
      <c r="AF23" s="0" t="str">
        <f>""</f>
      </c>
      <c r="AG23" s="0"/>
      <c r="AH23" s="0"/>
      <c r="AI23" s="0"/>
      <c r="AJ23" s="0" t="inlineStr">
        <is>
          <t/>
        </is>
      </c>
      <c r="AK23" s="0" t="s">
        <v>66</v>
      </c>
      <c r="AL23" s="0" t="inlineStr">
        <is>
          <t/>
        </is>
      </c>
      <c r="AM23" s="0" t="inlineStr">
        <is>
          <t/>
        </is>
      </c>
      <c r="AN23" s="0" t="inlineStr">
        <is>
          <t/>
        </is>
      </c>
      <c r="AO23" s="0" t="inlineStr">
        <is>
          <t/>
        </is>
      </c>
      <c r="AP23" s="0" t="inlineStr">
        <is>
          <t/>
        </is>
      </c>
      <c r="AQ23" s="0" t="s">
        <v>67</v>
      </c>
      <c r="AR23" s="0" t="inlineStr">
        <is>
          <t/>
        </is>
      </c>
      <c r="AS23" s="0" t="s">
        <v>68</v>
      </c>
      <c r="AT23" s="0" t="s">
        <v>149</v>
      </c>
      <c r="AU23" s="0" t="inlineStr">
        <is>
          <t/>
        </is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/>
      <c r="AZ23" s="0"/>
      <c r="BA23" s="0"/>
      <c r="BB23" s="0"/>
      <c r="BC23" s="0"/>
      <c r="BD23" s="0"/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</row>
    <row r="24">
      <c r="A24" s="0" t="n">
        <v>952202</v>
      </c>
      <c r="B24" s="0"/>
      <c r="C24" s="0" t="s">
        <v>59</v>
      </c>
      <c r="D24" s="0" t="s">
        <v>177</v>
      </c>
      <c r="E24" s="0" t="s">
        <v>178</v>
      </c>
      <c r="F24" s="0"/>
      <c r="G24" s="0"/>
      <c r="H24" s="0" t="s">
        <v>179</v>
      </c>
      <c r="I24" s="0" t="s">
        <v>179</v>
      </c>
      <c r="J24" s="0"/>
      <c r="K24" s="0" t="s">
        <v>177</v>
      </c>
      <c r="L24" s="0" t="s">
        <v>179</v>
      </c>
      <c r="M24" s="0" t="s">
        <v>177</v>
      </c>
      <c r="N24" s="0" t="s">
        <v>179</v>
      </c>
      <c r="O24" s="0"/>
      <c r="P24" s="0"/>
      <c r="Q24" s="0"/>
      <c r="R24" s="0" t="s">
        <v>139</v>
      </c>
      <c r="S24" s="0"/>
      <c r="T24" s="0"/>
      <c r="U24" s="0"/>
      <c r="V24" s="0"/>
      <c r="W24" s="0" t="s">
        <v>180</v>
      </c>
      <c r="X24" s="0" t="s">
        <v>65</v>
      </c>
      <c r="Y24" s="0" t="n">
        <v>282472</v>
      </c>
      <c r="Z24" s="0" t="str">
        <f>""</f>
      </c>
      <c r="AA24" s="0" t="str">
        <f>""</f>
      </c>
      <c r="AB24" s="0" t="str">
        <f>""</f>
      </c>
      <c r="AC24" s="0" t="inlineStr">
        <is>
          <t/>
        </is>
      </c>
      <c r="AD24" s="0"/>
      <c r="AE24" s="0"/>
      <c r="AF24" s="0" t="str">
        <f>""</f>
      </c>
      <c r="AG24" s="0"/>
      <c r="AH24" s="0"/>
      <c r="AI24" s="0"/>
      <c r="AJ24" s="0" t="inlineStr">
        <is>
          <t/>
        </is>
      </c>
      <c r="AK24" s="0" t="s">
        <v>66</v>
      </c>
      <c r="AL24" s="0" t="inlineStr">
        <is>
          <t/>
        </is>
      </c>
      <c r="AM24" s="0" t="inlineStr">
        <is>
          <t/>
        </is>
      </c>
      <c r="AN24" s="0" t="inlineStr">
        <is>
          <t/>
        </is>
      </c>
      <c r="AO24" s="0" t="inlineStr">
        <is>
          <t/>
        </is>
      </c>
      <c r="AP24" s="0" t="inlineStr">
        <is>
          <t/>
        </is>
      </c>
      <c r="AQ24" s="0" t="s">
        <v>67</v>
      </c>
      <c r="AR24" s="0" t="inlineStr">
        <is>
          <t/>
        </is>
      </c>
      <c r="AS24" s="0" t="s">
        <v>68</v>
      </c>
      <c r="AT24" s="0" t="s">
        <v>149</v>
      </c>
      <c r="AU24" s="0" t="inlineStr">
        <is>
          <t/>
        </is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/>
      <c r="AZ24" s="0"/>
      <c r="BA24" s="0"/>
      <c r="BB24" s="0"/>
      <c r="BC24" s="0"/>
      <c r="BD24" s="0"/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</row>
    <row r="25">
      <c r="A25" s="0" t="n">
        <v>952152</v>
      </c>
      <c r="B25" s="0"/>
      <c r="C25" s="0" t="s">
        <v>101</v>
      </c>
      <c r="D25" s="0"/>
      <c r="E25" s="0"/>
      <c r="F25" s="0"/>
      <c r="G25" s="0"/>
      <c r="H25" s="0" t="s">
        <v>115</v>
      </c>
      <c r="I25" s="0"/>
      <c r="J25" s="0"/>
      <c r="K25" s="0"/>
      <c r="L25" s="0" t="s">
        <v>115</v>
      </c>
      <c r="M25" s="0"/>
      <c r="N25" s="0"/>
      <c r="O25" s="0"/>
      <c r="P25" s="0"/>
      <c r="Q25" s="0"/>
      <c r="R25" s="0" t="s">
        <v>115</v>
      </c>
      <c r="S25" s="0"/>
      <c r="T25" s="0"/>
      <c r="U25" s="0"/>
      <c r="V25" s="0"/>
      <c r="W25" s="0"/>
      <c r="X25" s="0"/>
      <c r="Y25" s="0"/>
      <c r="Z25" s="0" t="str">
        <f>""</f>
      </c>
      <c r="AA25" s="0" t="str">
        <f>""</f>
      </c>
      <c r="AB25" s="0" t="str">
        <f>""</f>
      </c>
      <c r="AC25" s="0" t="s">
        <v>181</v>
      </c>
      <c r="AD25" s="0" t="s">
        <v>84</v>
      </c>
      <c r="AE25" s="0" t="s">
        <v>76</v>
      </c>
      <c r="AF25" s="0" t="str">
        <f>"30075"</f>
      </c>
      <c r="AG25" s="0"/>
      <c r="AH25" s="0" t="s">
        <v>65</v>
      </c>
      <c r="AI25" s="0" t="n">
        <v>842007</v>
      </c>
      <c r="AJ25" s="0" t="inlineStr">
        <is>
          <t/>
        </is>
      </c>
      <c r="AK25" s="0" t="s">
        <v>66</v>
      </c>
      <c r="AL25" s="0" t="inlineStr">
        <is>
          <t/>
        </is>
      </c>
      <c r="AM25" s="0" t="inlineStr">
        <is>
          <t/>
        </is>
      </c>
      <c r="AN25" s="0" t="inlineStr">
        <is>
          <t/>
        </is>
      </c>
      <c r="AO25" s="0" t="inlineStr">
        <is>
          <t/>
        </is>
      </c>
      <c r="AP25" s="0" t="inlineStr">
        <is>
          <t/>
        </is>
      </c>
      <c r="AQ25" s="0" t="s">
        <v>103</v>
      </c>
      <c r="AR25" s="0" t="inlineStr">
        <is>
          <t/>
        </is>
      </c>
      <c r="AS25" s="0" t="s">
        <v>68</v>
      </c>
      <c r="AT25" s="0" t="inlineStr">
        <is>
          <t/>
        </is>
      </c>
      <c r="AU25" s="0" t="inlineStr">
        <is>
          <t/>
        </is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/>
      <c r="AZ25" s="0"/>
      <c r="BA25" s="0"/>
      <c r="BB25" s="0"/>
      <c r="BC25" s="0"/>
      <c r="BD25" s="0"/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</row>
    <row r="26">
      <c r="A26" s="0" t="n">
        <v>952157</v>
      </c>
      <c r="B26" s="0"/>
      <c r="C26" s="0" t="s">
        <v>101</v>
      </c>
      <c r="D26" s="0"/>
      <c r="E26" s="0"/>
      <c r="F26" s="0"/>
      <c r="G26" s="0"/>
      <c r="H26" s="0" t="s">
        <v>182</v>
      </c>
      <c r="I26" s="0"/>
      <c r="J26" s="0"/>
      <c r="K26" s="0"/>
      <c r="L26" s="0" t="s">
        <v>182</v>
      </c>
      <c r="M26" s="0"/>
      <c r="N26" s="0"/>
      <c r="O26" s="0"/>
      <c r="P26" s="0"/>
      <c r="Q26" s="0"/>
      <c r="R26" s="0" t="s">
        <v>182</v>
      </c>
      <c r="S26" s="0"/>
      <c r="T26" s="0"/>
      <c r="U26" s="0"/>
      <c r="V26" s="0"/>
      <c r="W26" s="0"/>
      <c r="X26" s="0"/>
      <c r="Y26" s="0"/>
      <c r="Z26" s="0" t="str">
        <f>""</f>
      </c>
      <c r="AA26" s="0" t="str">
        <f>""</f>
      </c>
      <c r="AB26" s="0" t="str">
        <f>""</f>
      </c>
      <c r="AC26" s="0" t="s">
        <v>183</v>
      </c>
      <c r="AD26" s="0" t="s">
        <v>126</v>
      </c>
      <c r="AE26" s="0" t="s">
        <v>76</v>
      </c>
      <c r="AF26" s="0" t="str">
        <f>"31909"</f>
      </c>
      <c r="AG26" s="0"/>
      <c r="AH26" s="0" t="s">
        <v>65</v>
      </c>
      <c r="AI26" s="0" t="n">
        <v>842012</v>
      </c>
      <c r="AJ26" s="0" t="inlineStr">
        <is>
          <t/>
        </is>
      </c>
      <c r="AK26" s="0" t="s">
        <v>66</v>
      </c>
      <c r="AL26" s="0" t="inlineStr">
        <is>
          <t/>
        </is>
      </c>
      <c r="AM26" s="0" t="inlineStr">
        <is>
          <t/>
        </is>
      </c>
      <c r="AN26" s="0" t="inlineStr">
        <is>
          <t/>
        </is>
      </c>
      <c r="AO26" s="0" t="inlineStr">
        <is>
          <t/>
        </is>
      </c>
      <c r="AP26" s="0" t="inlineStr">
        <is>
          <t/>
        </is>
      </c>
      <c r="AQ26" s="0" t="s">
        <v>103</v>
      </c>
      <c r="AR26" s="0" t="inlineStr">
        <is>
          <t/>
        </is>
      </c>
      <c r="AS26" s="0" t="s">
        <v>68</v>
      </c>
      <c r="AT26" s="0" t="inlineStr">
        <is>
          <t/>
        </is>
      </c>
      <c r="AU26" s="0" t="inlineStr">
        <is>
          <t/>
        </is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/>
      <c r="AZ26" s="0"/>
      <c r="BA26" s="0"/>
      <c r="BB26" s="0"/>
      <c r="BC26" s="0"/>
      <c r="BD26" s="0"/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</row>
    <row r="27">
      <c r="A27" s="0" t="n">
        <v>952187</v>
      </c>
      <c r="B27" s="0"/>
      <c r="C27" s="0" t="s">
        <v>59</v>
      </c>
      <c r="D27" s="0" t="s">
        <v>184</v>
      </c>
      <c r="E27" s="0" t="s">
        <v>185</v>
      </c>
      <c r="F27" s="0"/>
      <c r="G27" s="0"/>
      <c r="H27" s="0" t="s">
        <v>186</v>
      </c>
      <c r="I27" s="0" t="s">
        <v>186</v>
      </c>
      <c r="J27" s="0"/>
      <c r="K27" s="0" t="s">
        <v>184</v>
      </c>
      <c r="L27" s="0" t="s">
        <v>186</v>
      </c>
      <c r="M27" s="0" t="s">
        <v>184</v>
      </c>
      <c r="N27" s="0" t="s">
        <v>186</v>
      </c>
      <c r="O27" s="0"/>
      <c r="P27" s="0"/>
      <c r="Q27" s="0"/>
      <c r="R27" s="0" t="s">
        <v>133</v>
      </c>
      <c r="S27" s="0"/>
      <c r="T27" s="0"/>
      <c r="U27" s="0"/>
      <c r="V27" s="0"/>
      <c r="W27" s="0" t="s">
        <v>187</v>
      </c>
      <c r="X27" s="0" t="s">
        <v>65</v>
      </c>
      <c r="Y27" s="0" t="n">
        <v>282457</v>
      </c>
      <c r="Z27" s="0" t="str">
        <f>""</f>
      </c>
      <c r="AA27" s="0" t="str">
        <f>""</f>
      </c>
      <c r="AB27" s="0" t="str">
        <f>""</f>
      </c>
      <c r="AC27" s="0" t="inlineStr">
        <is>
          <t/>
        </is>
      </c>
      <c r="AD27" s="0"/>
      <c r="AE27" s="0"/>
      <c r="AF27" s="0" t="str">
        <f>""</f>
      </c>
      <c r="AG27" s="0"/>
      <c r="AH27" s="0"/>
      <c r="AI27" s="0"/>
      <c r="AJ27" s="0" t="inlineStr">
        <is>
          <t/>
        </is>
      </c>
      <c r="AK27" s="0" t="s">
        <v>66</v>
      </c>
      <c r="AL27" s="0" t="inlineStr">
        <is>
          <t/>
        </is>
      </c>
      <c r="AM27" s="0" t="inlineStr">
        <is>
          <t/>
        </is>
      </c>
      <c r="AN27" s="0" t="inlineStr">
        <is>
          <t/>
        </is>
      </c>
      <c r="AO27" s="0" t="inlineStr">
        <is>
          <t/>
        </is>
      </c>
      <c r="AP27" s="0" t="inlineStr">
        <is>
          <t/>
        </is>
      </c>
      <c r="AQ27" s="0" t="s">
        <v>67</v>
      </c>
      <c r="AR27" s="0" t="inlineStr">
        <is>
          <t/>
        </is>
      </c>
      <c r="AS27" s="0" t="s">
        <v>68</v>
      </c>
      <c r="AT27" s="0" t="s">
        <v>69</v>
      </c>
      <c r="AU27" s="0" t="inlineStr">
        <is>
          <t/>
        </is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/>
      <c r="AZ27" s="0"/>
      <c r="BA27" s="0"/>
      <c r="BB27" s="0"/>
      <c r="BC27" s="0"/>
      <c r="BD27" s="0"/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</row>
    <row r="28">
      <c r="A28" s="0" t="n">
        <v>952192</v>
      </c>
      <c r="B28" s="0"/>
      <c r="C28" s="0" t="s">
        <v>59</v>
      </c>
      <c r="D28" s="0" t="s">
        <v>188</v>
      </c>
      <c r="E28" s="0" t="s">
        <v>189</v>
      </c>
      <c r="F28" s="0"/>
      <c r="G28" s="0"/>
      <c r="H28" s="0" t="s">
        <v>190</v>
      </c>
      <c r="I28" s="0" t="s">
        <v>190</v>
      </c>
      <c r="J28" s="0"/>
      <c r="K28" s="0" t="s">
        <v>188</v>
      </c>
      <c r="L28" s="0" t="s">
        <v>190</v>
      </c>
      <c r="M28" s="0" t="s">
        <v>188</v>
      </c>
      <c r="N28" s="0" t="s">
        <v>190</v>
      </c>
      <c r="O28" s="0"/>
      <c r="P28" s="0"/>
      <c r="Q28" s="0"/>
      <c r="R28" s="0" t="s">
        <v>133</v>
      </c>
      <c r="S28" s="0"/>
      <c r="T28" s="0"/>
      <c r="U28" s="0"/>
      <c r="V28" s="0"/>
      <c r="W28" s="0" t="s">
        <v>191</v>
      </c>
      <c r="X28" s="0" t="s">
        <v>65</v>
      </c>
      <c r="Y28" s="0" t="n">
        <v>282462</v>
      </c>
      <c r="Z28" s="0" t="str">
        <f>""</f>
      </c>
      <c r="AA28" s="0" t="str">
        <f>""</f>
      </c>
      <c r="AB28" s="0" t="str">
        <f>""</f>
      </c>
      <c r="AC28" s="0" t="inlineStr">
        <is>
          <t/>
        </is>
      </c>
      <c r="AD28" s="0"/>
      <c r="AE28" s="0"/>
      <c r="AF28" s="0" t="str">
        <f>""</f>
      </c>
      <c r="AG28" s="0"/>
      <c r="AH28" s="0"/>
      <c r="AI28" s="0"/>
      <c r="AJ28" s="0" t="inlineStr">
        <is>
          <t/>
        </is>
      </c>
      <c r="AK28" s="0" t="s">
        <v>66</v>
      </c>
      <c r="AL28" s="0" t="inlineStr">
        <is>
          <t/>
        </is>
      </c>
      <c r="AM28" s="0" t="inlineStr">
        <is>
          <t/>
        </is>
      </c>
      <c r="AN28" s="0" t="inlineStr">
        <is>
          <t/>
        </is>
      </c>
      <c r="AO28" s="0" t="inlineStr">
        <is>
          <t/>
        </is>
      </c>
      <c r="AP28" s="0" t="inlineStr">
        <is>
          <t/>
        </is>
      </c>
      <c r="AQ28" s="0" t="s">
        <v>67</v>
      </c>
      <c r="AR28" s="0" t="inlineStr">
        <is>
          <t/>
        </is>
      </c>
      <c r="AS28" s="0" t="s">
        <v>68</v>
      </c>
      <c r="AT28" s="0" t="s">
        <v>149</v>
      </c>
      <c r="AU28" s="0" t="inlineStr">
        <is>
          <t/>
        </is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/>
      <c r="AZ28" s="0"/>
      <c r="BA28" s="0"/>
      <c r="BB28" s="0"/>
      <c r="BC28" s="0"/>
      <c r="BD28" s="0"/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</row>
    <row r="29">
      <c r="A29" s="0" t="n">
        <v>952117</v>
      </c>
      <c r="B29" s="0"/>
      <c r="C29" s="0" t="s">
        <v>59</v>
      </c>
      <c r="D29" s="0" t="s">
        <v>135</v>
      </c>
      <c r="E29" s="0" t="s">
        <v>192</v>
      </c>
      <c r="F29" s="0"/>
      <c r="G29" s="0"/>
      <c r="H29" s="0" t="s">
        <v>193</v>
      </c>
      <c r="I29" s="0" t="s">
        <v>193</v>
      </c>
      <c r="J29" s="0" t="inlineStr">
        <is>
          <t/>
        </is>
      </c>
      <c r="K29" s="0" t="s">
        <v>135</v>
      </c>
      <c r="L29" s="0" t="s">
        <v>193</v>
      </c>
      <c r="M29" s="0" t="s">
        <v>135</v>
      </c>
      <c r="N29" s="0" t="s">
        <v>193</v>
      </c>
      <c r="O29" s="0"/>
      <c r="P29" s="0"/>
      <c r="Q29" s="0"/>
      <c r="R29" s="0"/>
      <c r="S29" s="0"/>
      <c r="T29" s="0"/>
      <c r="U29" s="0"/>
      <c r="V29" s="0"/>
      <c r="W29" s="0" t="s">
        <v>194</v>
      </c>
      <c r="X29" s="0" t="s">
        <v>65</v>
      </c>
      <c r="Y29" s="0" t="n">
        <v>282422</v>
      </c>
      <c r="Z29" s="0" t="str">
        <f>""</f>
      </c>
      <c r="AA29" s="0" t="str">
        <f>""</f>
      </c>
      <c r="AB29" s="0" t="str">
        <f>""</f>
      </c>
      <c r="AC29" s="0" t="s">
        <v>195</v>
      </c>
      <c r="AD29" s="0" t="s">
        <v>196</v>
      </c>
      <c r="AE29" s="0" t="s">
        <v>197</v>
      </c>
      <c r="AF29" s="0" t="str">
        <f>"19428"</f>
      </c>
      <c r="AG29" s="0"/>
      <c r="AH29" s="0" t="s">
        <v>65</v>
      </c>
      <c r="AI29" s="0" t="n">
        <v>841972</v>
      </c>
      <c r="AJ29" s="0" t="inlineStr">
        <is>
          <t/>
        </is>
      </c>
      <c r="AK29" s="0" t="s">
        <v>66</v>
      </c>
      <c r="AL29" s="0" t="inlineStr">
        <is>
          <t/>
        </is>
      </c>
      <c r="AM29" s="0" t="inlineStr">
        <is>
          <t/>
        </is>
      </c>
      <c r="AN29" s="0" t="inlineStr">
        <is>
          <t/>
        </is>
      </c>
      <c r="AO29" s="0" t="inlineStr">
        <is>
          <t/>
        </is>
      </c>
      <c r="AP29" s="0" t="inlineStr">
        <is>
          <t/>
        </is>
      </c>
      <c r="AQ29" s="0" t="s">
        <v>88</v>
      </c>
      <c r="AR29" s="0" t="inlineStr">
        <is>
          <t/>
        </is>
      </c>
      <c r="AS29" s="0" t="s">
        <v>157</v>
      </c>
      <c r="AT29" s="0" t="inlineStr">
        <is>
          <t/>
        </is>
      </c>
      <c r="AU29" s="0" t="inlineStr">
        <is>
          <t/>
        </is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/>
      <c r="AZ29" s="0"/>
      <c r="BA29" s="0"/>
      <c r="BB29" s="0"/>
      <c r="BC29" s="0"/>
      <c r="BD29" s="0"/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</row>
    <row r="30">
      <c r="A30" s="0" t="n">
        <v>952122</v>
      </c>
      <c r="B30" s="0"/>
      <c r="C30" s="0" t="s">
        <v>59</v>
      </c>
      <c r="D30" s="0" t="s">
        <v>198</v>
      </c>
      <c r="E30" s="0" t="s">
        <v>199</v>
      </c>
      <c r="F30" s="0"/>
      <c r="G30" s="0"/>
      <c r="H30" s="0" t="s">
        <v>200</v>
      </c>
      <c r="I30" s="0" t="s">
        <v>200</v>
      </c>
      <c r="J30" s="0"/>
      <c r="K30" s="0" t="s">
        <v>198</v>
      </c>
      <c r="L30" s="0" t="s">
        <v>200</v>
      </c>
      <c r="M30" s="0" t="s">
        <v>198</v>
      </c>
      <c r="N30" s="0" t="s">
        <v>200</v>
      </c>
      <c r="O30" s="0"/>
      <c r="P30" s="0"/>
      <c r="Q30" s="0"/>
      <c r="R30" s="0"/>
      <c r="S30" s="0"/>
      <c r="T30" s="0"/>
      <c r="U30" s="0"/>
      <c r="V30" s="0"/>
      <c r="W30" s="0" t="s">
        <v>201</v>
      </c>
      <c r="X30" s="0" t="s">
        <v>65</v>
      </c>
      <c r="Y30" s="0" t="n">
        <v>282427</v>
      </c>
      <c r="Z30" s="0" t="str">
        <f>""</f>
      </c>
      <c r="AA30" s="0" t="str">
        <f>""</f>
      </c>
      <c r="AB30" s="0" t="str">
        <f>""</f>
      </c>
      <c r="AC30" s="0" t="s">
        <v>202</v>
      </c>
      <c r="AD30" s="0" t="s">
        <v>203</v>
      </c>
      <c r="AE30" s="0" t="s">
        <v>76</v>
      </c>
      <c r="AF30" s="0" t="str">
        <f>"30009"</f>
      </c>
      <c r="AG30" s="0"/>
      <c r="AH30" s="0" t="s">
        <v>65</v>
      </c>
      <c r="AI30" s="0" t="n">
        <v>841977</v>
      </c>
      <c r="AJ30" s="0" t="inlineStr">
        <is>
          <t/>
        </is>
      </c>
      <c r="AK30" s="0" t="s">
        <v>66</v>
      </c>
      <c r="AL30" s="0" t="inlineStr">
        <is>
          <t/>
        </is>
      </c>
      <c r="AM30" s="0" t="inlineStr">
        <is>
          <t/>
        </is>
      </c>
      <c r="AN30" s="0" t="inlineStr">
        <is>
          <t/>
        </is>
      </c>
      <c r="AO30" s="0" t="inlineStr">
        <is>
          <t/>
        </is>
      </c>
      <c r="AP30" s="0" t="inlineStr">
        <is>
          <t/>
        </is>
      </c>
      <c r="AQ30" s="0" t="s">
        <v>88</v>
      </c>
      <c r="AR30" s="0" t="inlineStr">
        <is>
          <t/>
        </is>
      </c>
      <c r="AS30" s="0" t="s">
        <v>68</v>
      </c>
      <c r="AT30" s="0" t="inlineStr">
        <is>
          <t/>
        </is>
      </c>
      <c r="AU30" s="0" t="inlineStr">
        <is>
          <t/>
        </is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/>
      <c r="AZ30" s="0"/>
      <c r="BA30" s="0"/>
      <c r="BB30" s="0"/>
      <c r="BC30" s="0"/>
      <c r="BD30" s="0"/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</row>
    <row r="31">
      <c r="A31" s="0" t="n">
        <v>952222</v>
      </c>
      <c r="B31" s="0"/>
      <c r="C31" s="0" t="s">
        <v>59</v>
      </c>
      <c r="D31" s="0" t="s">
        <v>204</v>
      </c>
      <c r="E31" s="0" t="s">
        <v>205</v>
      </c>
      <c r="F31" s="0"/>
      <c r="G31" s="0"/>
      <c r="H31" s="0" t="s">
        <v>206</v>
      </c>
      <c r="I31" s="0" t="s">
        <v>206</v>
      </c>
      <c r="J31" s="0"/>
      <c r="K31" s="0" t="s">
        <v>204</v>
      </c>
      <c r="L31" s="0" t="s">
        <v>206</v>
      </c>
      <c r="M31" s="0" t="s">
        <v>204</v>
      </c>
      <c r="N31" s="0" t="s">
        <v>206</v>
      </c>
      <c r="O31" s="0"/>
      <c r="P31" s="0"/>
      <c r="Q31" s="0"/>
      <c r="R31" s="0" t="s">
        <v>207</v>
      </c>
      <c r="S31" s="0"/>
      <c r="T31" s="0"/>
      <c r="U31" s="0"/>
      <c r="V31" s="0"/>
      <c r="W31" s="0" t="s">
        <v>208</v>
      </c>
      <c r="X31" s="0" t="s">
        <v>65</v>
      </c>
      <c r="Y31" s="0" t="n">
        <v>282492</v>
      </c>
      <c r="Z31" s="0" t="str">
        <f>""</f>
      </c>
      <c r="AA31" s="0" t="str">
        <f>""</f>
      </c>
      <c r="AB31" s="0" t="str">
        <f>""</f>
      </c>
      <c r="AC31" s="0" t="inlineStr">
        <is>
          <t/>
        </is>
      </c>
      <c r="AD31" s="0"/>
      <c r="AE31" s="0"/>
      <c r="AF31" s="0" t="str">
        <f>""</f>
      </c>
      <c r="AG31" s="0"/>
      <c r="AH31" s="0"/>
      <c r="AI31" s="0"/>
      <c r="AJ31" s="0" t="inlineStr">
        <is>
          <t/>
        </is>
      </c>
      <c r="AK31" s="0" t="s">
        <v>66</v>
      </c>
      <c r="AL31" s="0" t="inlineStr">
        <is>
          <t/>
        </is>
      </c>
      <c r="AM31" s="0" t="inlineStr">
        <is>
          <t/>
        </is>
      </c>
      <c r="AN31" s="0" t="inlineStr">
        <is>
          <t/>
        </is>
      </c>
      <c r="AO31" s="0" t="inlineStr">
        <is>
          <t/>
        </is>
      </c>
      <c r="AP31" s="0" t="inlineStr">
        <is>
          <t/>
        </is>
      </c>
      <c r="AQ31" s="0" t="s">
        <v>67</v>
      </c>
      <c r="AR31" s="0" t="inlineStr">
        <is>
          <t/>
        </is>
      </c>
      <c r="AS31" s="0" t="s">
        <v>68</v>
      </c>
      <c r="AT31" s="0" t="inlineStr">
        <is>
          <t/>
        </is>
      </c>
      <c r="AU31" s="0" t="inlineStr">
        <is>
          <t/>
        </is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/>
      <c r="AZ31" s="0"/>
      <c r="BA31" s="0"/>
      <c r="BB31" s="0"/>
      <c r="BC31" s="0"/>
      <c r="BD31" s="0"/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2026-03-26T23:58:19Z</dcterms:created>
  <cp:revision>0</cp:revision>
</cp:coreProperties>
</file>