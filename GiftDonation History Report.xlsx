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1"/>
  </sheets>
</workbook>
</file>

<file path=xl/sharedStrings.xml><?xml version="1.0" encoding="utf-8"?>
<sst xmlns="http://schemas.openxmlformats.org/spreadsheetml/2006/main" count="257" uniqueCount="110" xml:space="preserve">
  <si>
    <t>Constituent</t>
  </si>
  <si>
    <t>Gift Type</t>
  </si>
  <si>
    <t>Amount</t>
  </si>
  <si>
    <t>Pledged Amount</t>
  </si>
  <si>
    <t>Deductible amount</t>
  </si>
  <si>
    <t>Pledge balance</t>
  </si>
  <si>
    <t>Gift Date</t>
  </si>
  <si>
    <t>Deposit Date</t>
  </si>
  <si>
    <t>Due/End date</t>
  </si>
  <si>
    <t>Payment Type</t>
  </si>
  <si>
    <t>Check Number</t>
  </si>
  <si>
    <t>Campaign</t>
  </si>
  <si>
    <t>Fund</t>
  </si>
  <si>
    <t>Appeal</t>
  </si>
  <si>
    <t>Event</t>
  </si>
  <si>
    <t>Gift category</t>
  </si>
  <si>
    <t>Groups</t>
  </si>
  <si>
    <t>MailChimp Status</t>
  </si>
  <si>
    <t>Acknowledgment Preference</t>
  </si>
  <si>
    <t>Adjacent Contact</t>
  </si>
  <si>
    <t>Category</t>
  </si>
  <si>
    <t>Communication Tags</t>
  </si>
  <si>
    <t>Gift date</t>
  </si>
  <si>
    <t>Giving Status</t>
  </si>
  <si>
    <t>Role</t>
  </si>
  <si>
    <t>Rotary Club Affiliation</t>
  </si>
  <si>
    <t>Rotary Club type</t>
  </si>
  <si>
    <t>Rotary District</t>
  </si>
  <si>
    <t>Rotary Role</t>
  </si>
  <si>
    <t>Gift note</t>
  </si>
  <si>
    <t>First Name</t>
  </si>
  <si>
    <t>Last Name</t>
  </si>
  <si>
    <t>Addressee</t>
  </si>
  <si>
    <t>Annual Report Name</t>
  </si>
  <si>
    <t>Spouse Name</t>
  </si>
  <si>
    <t>Salutation</t>
  </si>
  <si>
    <t>Job Title</t>
  </si>
  <si>
    <t>Employer/Organization</t>
  </si>
  <si>
    <t>Constituent Type</t>
  </si>
  <si>
    <t>Pref. Email</t>
  </si>
  <si>
    <t>Pref. Email Type</t>
  </si>
  <si>
    <t>Pref. LGL Email ID</t>
  </si>
  <si>
    <t>Pref. Phone</t>
  </si>
  <si>
    <t>Pref. Phone Type</t>
  </si>
  <si>
    <t>Pref. LGL Phone ID</t>
  </si>
  <si>
    <t>Pref. Street</t>
  </si>
  <si>
    <t>Pref. City</t>
  </si>
  <si>
    <t>Pref. State/Province</t>
  </si>
  <si>
    <t>Pref. ZIP/Postal Code</t>
  </si>
  <si>
    <t>Pref. Country</t>
  </si>
  <si>
    <t>Pref. Address Type</t>
  </si>
  <si>
    <t>Pref. LGL Address ID</t>
  </si>
  <si>
    <t>Stewards</t>
  </si>
  <si>
    <t>Gift batch ID</t>
  </si>
  <si>
    <t>LGL Constituent ID</t>
  </si>
  <si>
    <t>External Constituent ID</t>
  </si>
  <si>
    <t>LGL Gift ID</t>
  </si>
  <si>
    <t>External Gift ID</t>
  </si>
  <si>
    <t>LGL Parent Gift ID</t>
  </si>
  <si>
    <t>External Parent Gift ID</t>
  </si>
  <si>
    <t>Judith (Louann) Medlock</t>
  </si>
  <si>
    <t>Gift</t>
  </si>
  <si>
    <t>Donation</t>
  </si>
  <si>
    <t>Rotary</t>
  </si>
  <si>
    <t>No valid phone</t>
  </si>
  <si>
    <t>Top 100 Donor;Active Donor</t>
  </si>
  <si>
    <t>FY 25-26 Total Donations PD</t>
  </si>
  <si>
    <t>LouAnn</t>
  </si>
  <si>
    <t>Medlock</t>
  </si>
  <si>
    <t>Judith (Louann)</t>
  </si>
  <si>
    <t>Muscogee-Columbus</t>
  </si>
  <si>
    <t>Individual</t>
  </si>
  <si>
    <t>pedsrx5@aol.com</t>
  </si>
  <si>
    <t>Home</t>
  </si>
  <si>
    <t>750 Cornerstone Dr</t>
  </si>
  <si>
    <t>Columbus</t>
  </si>
  <si>
    <t>GA</t>
  </si>
  <si>
    <t>The The John Templeton Foundation</t>
  </si>
  <si>
    <t>General Fund</t>
  </si>
  <si>
    <t>The</t>
  </si>
  <si>
    <t>The John Templeton Foundation</t>
  </si>
  <si>
    <t>cpollock@templeton.org</t>
  </si>
  <si>
    <t>300 Conshohocken State Road, Ste. 500</t>
  </si>
  <si>
    <t>West Conshohocken</t>
  </si>
  <si>
    <t>PA</t>
  </si>
  <si>
    <t>3277-9</t>
  </si>
  <si>
    <t>Jane &amp; Randy Merrill</t>
  </si>
  <si>
    <t>Top 100 Donor;Lapsed Donor</t>
  </si>
  <si>
    <t>Jane &amp; Randy</t>
  </si>
  <si>
    <t>Merrill</t>
  </si>
  <si>
    <t>Randy Merrill</t>
  </si>
  <si>
    <t>randy.merrill@me.com</t>
  </si>
  <si>
    <t>4246 Sentinel Post Rd NW</t>
  </si>
  <si>
    <t>Atlanta</t>
  </si>
  <si>
    <t>3277-6</t>
  </si>
  <si>
    <t>Bob Hagan</t>
  </si>
  <si>
    <t>Donor;Past Board Member</t>
  </si>
  <si>
    <t>No valid address;No valid phone</t>
  </si>
  <si>
    <t>Bridge Founder;PDG</t>
  </si>
  <si>
    <t>Bob</t>
  </si>
  <si>
    <t>Hagan</t>
  </si>
  <si>
    <t>Roswell</t>
  </si>
  <si>
    <t>bhagan@sterling-health.com</t>
  </si>
  <si>
    <t>3277-5</t>
  </si>
  <si>
    <t>3277-3</t>
  </si>
  <si>
    <t>3277-2</t>
  </si>
  <si>
    <t>3277-8</t>
  </si>
  <si>
    <t>3277-1</t>
  </si>
  <si>
    <t>3277-7</t>
  </si>
  <si>
    <t>Total Donation (Pre 2018 - P) Paid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</si>
</sst>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9.6"/>
    <col min="2" max="2" bestFit="1" customWidth="1" width="13.200000000000001"/>
    <col min="3" max="3" bestFit="1" customWidth="1" width="12.100000000000001"/>
    <col min="4" max="4" bestFit="1" customWidth="1" width="18.700000000000003"/>
    <col min="5" max="5" bestFit="1" customWidth="1" width="22.0"/>
    <col min="6" max="6" bestFit="1" customWidth="1" width="18.700000000000003"/>
    <col min="7" max="7" bestFit="1" customWidth="1" width="14.3"/>
    <col min="8" max="8" bestFit="1" customWidth="1" width="16.5"/>
    <col min="9" max="9" bestFit="1" customWidth="1" width="16.5"/>
    <col min="10" max="10" bestFit="1" customWidth="1" width="16.5"/>
    <col min="11" max="11" bestFit="1" customWidth="1" width="16.5"/>
    <col min="12" max="12" bestFit="1" customWidth="1" width="12.100000000000001"/>
    <col min="13" max="13" bestFit="1" customWidth="1" width="16.5"/>
    <col min="14" max="14" bestFit="1" customWidth="1" width="9.9"/>
    <col min="15" max="15" bestFit="1" customWidth="1" width="8.8"/>
    <col min="16" max="16" bestFit="1" customWidth="1" width="17.6"/>
    <col min="17" max="17" bestFit="1" customWidth="1" width="28.6"/>
    <col min="18" max="18" bestFit="1" customWidth="1" width="20.900000000000002"/>
    <col min="19" max="19" bestFit="1" customWidth="1" width="30.800000000000004"/>
    <col min="20" max="20" bestFit="1" customWidth="1" width="20.900000000000002"/>
    <col min="21" max="21" bestFit="1" customWidth="1" width="12.100000000000001"/>
    <col min="22" max="22" bestFit="1" customWidth="1" width="37.400000000000006"/>
    <col min="23" max="23" bestFit="1" customWidth="1" width="13.200000000000001"/>
    <col min="24" max="24" bestFit="1" customWidth="1" width="31.900000000000002"/>
    <col min="25" max="25" bestFit="1" customWidth="1" width="23.1"/>
    <col min="26" max="26" bestFit="1" customWidth="1" width="28.6"/>
    <col min="27" max="27" bestFit="1" customWidth="1" width="20.900000000000002"/>
    <col min="28" max="28" bestFit="1" customWidth="1" width="19.8"/>
    <col min="29" max="29" bestFit="1" customWidth="1" width="15.400000000000002"/>
    <col min="30" max="30" bestFit="1" customWidth="1" width="40.7"/>
    <col min="31" max="31" bestFit="1" customWidth="1" width="16.5"/>
    <col min="32" max="32" bestFit="1" customWidth="1" width="35.2"/>
    <col min="33" max="33" bestFit="1" customWidth="1" width="39.6"/>
    <col min="34" max="34" bestFit="1" customWidth="1" width="39.6"/>
    <col min="35" max="35" bestFit="1" customWidth="1" width="17.6"/>
    <col min="36" max="36" bestFit="1" customWidth="1" width="19.8"/>
    <col min="37" max="37" bestFit="1" customWidth="1" width="13.200000000000001"/>
    <col min="38" max="38" bestFit="1" customWidth="1" width="26.400000000000002"/>
    <col min="39" max="39" bestFit="1" customWidth="1" width="20.900000000000002"/>
    <col min="40" max="40" bestFit="1" customWidth="1" width="31.900000000000002"/>
    <col min="41" max="41" bestFit="1" customWidth="1" width="20.900000000000002"/>
    <col min="42" max="42" bestFit="1" customWidth="1" width="23.1"/>
    <col min="43" max="43" bestFit="1" customWidth="1" width="15.400000000000002"/>
    <col min="44" max="44" bestFit="1" customWidth="1" width="20.900000000000002"/>
    <col min="45" max="45" bestFit="1" customWidth="1" width="23.1"/>
    <col min="46" max="46" bestFit="1" customWidth="1" width="44.0"/>
    <col min="47" max="47" bestFit="1" customWidth="1" width="22.0"/>
    <col min="48" max="48" bestFit="1" customWidth="1" width="25.3"/>
    <col min="49" max="49" bestFit="1" customWidth="1" width="26.400000000000002"/>
    <col min="50" max="50" bestFit="1" customWidth="1" width="17.6"/>
    <col min="51" max="51" bestFit="1" customWidth="1" width="23.1"/>
    <col min="52" max="52" bestFit="1" customWidth="1" width="25.3"/>
    <col min="53" max="53" bestFit="1" customWidth="1" width="12.100000000000001"/>
    <col min="54" max="54" bestFit="1" customWidth="1" width="17.6"/>
    <col min="55" max="55" bestFit="1" customWidth="1" width="23.1"/>
    <col min="56" max="56" bestFit="1" customWidth="1" width="28.6"/>
    <col min="57" max="57" bestFit="1" customWidth="1" width="15.400000000000002"/>
    <col min="58" max="58" bestFit="1" customWidth="1" width="20.900000000000002"/>
    <col min="59" max="59" bestFit="1" customWidth="1" width="23.1"/>
    <col min="60" max="60" bestFit="1" customWidth="1" width="28.6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</row>
    <row r="2">
      <c r="A2" s="0" t="s">
        <v>60</v>
      </c>
      <c r="B2" s="0" t="s">
        <v>61</v>
      </c>
      <c r="C2" s="0" t="n">
        <v>25.0</v>
      </c>
      <c r="D2" s="0"/>
      <c r="E2" s="0" t="n">
        <v>25.0</v>
      </c>
      <c r="F2" s="0"/>
      <c r="G2" s="2">
        <v>45658.0</v>
      </c>
      <c r="H2" s="2">
        <v>45658.0</v>
      </c>
      <c r="I2" s="0"/>
      <c r="J2" s="0"/>
      <c r="K2" s="0" t="inlineStr">
        <is>
          <t/>
        </is>
      </c>
      <c r="L2" s="0"/>
      <c r="M2" s="0"/>
      <c r="N2" s="0"/>
      <c r="O2" s="0"/>
      <c r="P2" s="0" t="s">
        <v>62</v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s">
        <v>63</v>
      </c>
      <c r="V2" s="0" t="s">
        <v>64</v>
      </c>
      <c r="W2" s="0" t="inlineStr">
        <is>
          <t/>
        </is>
      </c>
      <c r="X2" s="0" t="s">
        <v>65</v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s">
        <v>66</v>
      </c>
      <c r="AE2" s="0" t="s">
        <v>67</v>
      </c>
      <c r="AF2" s="0" t="s">
        <v>68</v>
      </c>
      <c r="AG2" s="0" t="s">
        <v>60</v>
      </c>
      <c r="AH2" s="0" t="s">
        <v>60</v>
      </c>
      <c r="AI2" s="0"/>
      <c r="AJ2" s="0" t="s">
        <v>69</v>
      </c>
      <c r="AK2" s="0"/>
      <c r="AL2" s="0" t="s">
        <v>70</v>
      </c>
      <c r="AM2" s="0" t="s">
        <v>71</v>
      </c>
      <c r="AN2" s="0" t="s">
        <v>72</v>
      </c>
      <c r="AO2" s="0" t="s">
        <v>73</v>
      </c>
      <c r="AP2" s="0" t="n">
        <v>282412</v>
      </c>
      <c r="AQ2" s="0" t="str">
        <f>""</f>
      </c>
      <c r="AR2" s="0" t="str">
        <f>""</f>
      </c>
      <c r="AS2" s="0" t="str">
        <f>""</f>
      </c>
      <c r="AT2" s="0" t="s">
        <v>74</v>
      </c>
      <c r="AU2" s="0" t="s">
        <v>75</v>
      </c>
      <c r="AV2" s="0" t="s">
        <v>76</v>
      </c>
      <c r="AW2" s="0" t="str">
        <f>"31904"</f>
      </c>
      <c r="AX2" s="0"/>
      <c r="AY2" s="0" t="s">
        <v>73</v>
      </c>
      <c r="AZ2" s="0" t="n">
        <v>841962</v>
      </c>
      <c r="BA2" s="0" t="inlineStr">
        <is>
          <t/>
        </is>
      </c>
      <c r="BB2" s="0" t="n">
        <v>8152</v>
      </c>
      <c r="BC2" s="0" t="n">
        <v>952107</v>
      </c>
      <c r="BD2" s="0"/>
      <c r="BE2" s="0" t="n">
        <v>237</v>
      </c>
      <c r="BF2" s="0"/>
      <c r="BG2" s="0"/>
      <c r="BH2" s="0"/>
    </row>
    <row r="3">
      <c r="A3" s="0" t="s">
        <v>77</v>
      </c>
      <c r="B3" s="0" t="s">
        <v>61</v>
      </c>
      <c r="C3" s="0" t="n">
        <v>60000.0</v>
      </c>
      <c r="D3" s="0"/>
      <c r="E3" s="0" t="n">
        <v>60000.0</v>
      </c>
      <c r="F3" s="0"/>
      <c r="G3" s="2">
        <v>45650.0</v>
      </c>
      <c r="H3" s="2">
        <v>45650.0</v>
      </c>
      <c r="I3" s="0"/>
      <c r="J3" s="0"/>
      <c r="K3" s="0"/>
      <c r="L3" s="0"/>
      <c r="M3" s="0" t="s">
        <v>78</v>
      </c>
      <c r="N3" s="0"/>
      <c r="O3" s="0"/>
      <c r="P3" s="0"/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0" t="inlineStr">
        <is>
          <t/>
        </is>
      </c>
      <c r="U3" s="0" t="inlineStr">
        <is>
          <t/>
        </is>
      </c>
      <c r="V3" s="0" t="s">
        <v>64</v>
      </c>
      <c r="W3" s="0" t="inlineStr">
        <is>
          <t/>
        </is>
      </c>
      <c r="X3" s="0" t="s">
        <v>65</v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/>
      <c r="AE3" s="0" t="s">
        <v>79</v>
      </c>
      <c r="AF3" s="0" t="s">
        <v>80</v>
      </c>
      <c r="AG3" s="0" t="s">
        <v>77</v>
      </c>
      <c r="AH3" s="0" t="s">
        <v>77</v>
      </c>
      <c r="AI3" s="0" t="inlineStr">
        <is>
          <t/>
        </is>
      </c>
      <c r="AJ3" s="0" t="s">
        <v>79</v>
      </c>
      <c r="AK3" s="0"/>
      <c r="AL3" s="0"/>
      <c r="AM3" s="0" t="s">
        <v>71</v>
      </c>
      <c r="AN3" s="0" t="s">
        <v>81</v>
      </c>
      <c r="AO3" s="0" t="s">
        <v>73</v>
      </c>
      <c r="AP3" s="0" t="n">
        <v>282422</v>
      </c>
      <c r="AQ3" s="0" t="str">
        <f>""</f>
      </c>
      <c r="AR3" s="0" t="str">
        <f>""</f>
      </c>
      <c r="AS3" s="0" t="str">
        <f>""</f>
      </c>
      <c r="AT3" s="0" t="s">
        <v>82</v>
      </c>
      <c r="AU3" s="0" t="s">
        <v>83</v>
      </c>
      <c r="AV3" s="0" t="s">
        <v>84</v>
      </c>
      <c r="AW3" s="0" t="str">
        <f>"19428"</f>
      </c>
      <c r="AX3" s="0"/>
      <c r="AY3" s="0" t="s">
        <v>73</v>
      </c>
      <c r="AZ3" s="0" t="n">
        <v>841972</v>
      </c>
      <c r="BA3" s="0" t="inlineStr">
        <is>
          <t/>
        </is>
      </c>
      <c r="BB3" s="0"/>
      <c r="BC3" s="0" t="n">
        <v>952117</v>
      </c>
      <c r="BD3" s="0"/>
      <c r="BE3" s="0" t="n">
        <v>222</v>
      </c>
      <c r="BF3" s="0" t="s">
        <v>85</v>
      </c>
      <c r="BG3" s="0"/>
      <c r="BH3" s="0"/>
    </row>
    <row r="4">
      <c r="A4" s="0" t="s">
        <v>86</v>
      </c>
      <c r="B4" s="0" t="s">
        <v>61</v>
      </c>
      <c r="C4" s="0" t="n">
        <v>2500.0</v>
      </c>
      <c r="D4" s="0"/>
      <c r="E4" s="0" t="n">
        <v>2500.0</v>
      </c>
      <c r="F4" s="0"/>
      <c r="G4" s="2">
        <v>45538.0</v>
      </c>
      <c r="H4" s="2">
        <v>45538.0</v>
      </c>
      <c r="I4" s="0"/>
      <c r="J4" s="0"/>
      <c r="K4" s="0"/>
      <c r="L4" s="0"/>
      <c r="M4" s="0" t="s">
        <v>78</v>
      </c>
      <c r="N4" s="0"/>
      <c r="O4" s="0"/>
      <c r="P4" s="0"/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0" t="inlineStr">
        <is>
          <t/>
        </is>
      </c>
      <c r="U4" s="0" t="inlineStr">
        <is>
          <t/>
        </is>
      </c>
      <c r="V4" s="0" t="s">
        <v>64</v>
      </c>
      <c r="W4" s="0" t="inlineStr">
        <is>
          <t/>
        </is>
      </c>
      <c r="X4" s="0" t="s">
        <v>87</v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inlineStr">
        <is>
          <t/>
        </is>
      </c>
      <c r="AC4" s="0" t="inlineStr">
        <is>
          <t/>
        </is>
      </c>
      <c r="AD4" s="0"/>
      <c r="AE4" s="0" t="s">
        <v>88</v>
      </c>
      <c r="AF4" s="0" t="s">
        <v>89</v>
      </c>
      <c r="AG4" s="0" t="s">
        <v>86</v>
      </c>
      <c r="AH4" s="0" t="s">
        <v>86</v>
      </c>
      <c r="AI4" s="0" t="s">
        <v>90</v>
      </c>
      <c r="AJ4" s="0" t="s">
        <v>88</v>
      </c>
      <c r="AK4" s="0"/>
      <c r="AL4" s="0"/>
      <c r="AM4" s="0" t="s">
        <v>71</v>
      </c>
      <c r="AN4" s="0" t="s">
        <v>91</v>
      </c>
      <c r="AO4" s="0" t="s">
        <v>73</v>
      </c>
      <c r="AP4" s="0" t="n">
        <v>282417</v>
      </c>
      <c r="AQ4" s="0" t="str">
        <f>""</f>
      </c>
      <c r="AR4" s="0" t="str">
        <f>""</f>
      </c>
      <c r="AS4" s="0" t="str">
        <f>""</f>
      </c>
      <c r="AT4" s="0" t="s">
        <v>92</v>
      </c>
      <c r="AU4" s="0" t="s">
        <v>93</v>
      </c>
      <c r="AV4" s="0" t="s">
        <v>76</v>
      </c>
      <c r="AW4" s="0" t="str">
        <f>"30327"</f>
      </c>
      <c r="AX4" s="0"/>
      <c r="AY4" s="0" t="s">
        <v>73</v>
      </c>
      <c r="AZ4" s="0" t="n">
        <v>841967</v>
      </c>
      <c r="BA4" s="0" t="inlineStr">
        <is>
          <t/>
        </is>
      </c>
      <c r="BB4" s="0"/>
      <c r="BC4" s="0" t="n">
        <v>952112</v>
      </c>
      <c r="BD4" s="0"/>
      <c r="BE4" s="0" t="n">
        <v>207</v>
      </c>
      <c r="BF4" s="0" t="s">
        <v>94</v>
      </c>
      <c r="BG4" s="0"/>
      <c r="BH4" s="0"/>
    </row>
    <row r="5">
      <c r="A5" s="0" t="s">
        <v>95</v>
      </c>
      <c r="B5" s="0" t="s">
        <v>61</v>
      </c>
      <c r="C5" s="0" t="n">
        <v>1000.0</v>
      </c>
      <c r="D5" s="0"/>
      <c r="E5" s="0" t="n">
        <v>1000.0</v>
      </c>
      <c r="F5" s="0"/>
      <c r="G5" s="2">
        <v>45163.0</v>
      </c>
      <c r="H5" s="2">
        <v>45163.0</v>
      </c>
      <c r="I5" s="0"/>
      <c r="J5" s="0"/>
      <c r="K5" s="0"/>
      <c r="L5" s="0"/>
      <c r="M5" s="0" t="s">
        <v>78</v>
      </c>
      <c r="N5" s="0"/>
      <c r="O5" s="0"/>
      <c r="P5" s="0"/>
      <c r="Q5" s="0" t="s">
        <v>96</v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s">
        <v>63</v>
      </c>
      <c r="V5" s="0" t="s">
        <v>97</v>
      </c>
      <c r="W5" s="0" t="inlineStr">
        <is>
          <t/>
        </is>
      </c>
      <c r="X5" s="0" t="s">
        <v>87</v>
      </c>
      <c r="Y5" s="0" t="s">
        <v>98</v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  <c r="AC5" s="0" t="inlineStr">
        <is>
          <t/>
        </is>
      </c>
      <c r="AD5" s="0"/>
      <c r="AE5" s="0" t="s">
        <v>99</v>
      </c>
      <c r="AF5" s="0" t="s">
        <v>100</v>
      </c>
      <c r="AG5" s="0" t="s">
        <v>95</v>
      </c>
      <c r="AH5" s="0" t="s">
        <v>95</v>
      </c>
      <c r="AI5" s="0" t="inlineStr">
        <is>
          <t/>
        </is>
      </c>
      <c r="AJ5" s="0" t="s">
        <v>99</v>
      </c>
      <c r="AK5" s="0"/>
      <c r="AL5" s="0" t="s">
        <v>101</v>
      </c>
      <c r="AM5" s="0" t="s">
        <v>71</v>
      </c>
      <c r="AN5" s="0" t="s">
        <v>102</v>
      </c>
      <c r="AO5" s="0" t="s">
        <v>73</v>
      </c>
      <c r="AP5" s="0" t="n">
        <v>282407</v>
      </c>
      <c r="AQ5" s="0" t="str">
        <f>""</f>
      </c>
      <c r="AR5" s="0" t="str">
        <f>""</f>
      </c>
      <c r="AS5" s="0" t="str">
        <f>""</f>
      </c>
      <c r="AT5" s="0" t="inlineStr">
        <is>
          <t/>
        </is>
      </c>
      <c r="AU5" s="0" t="s">
        <v>101</v>
      </c>
      <c r="AV5" s="0" t="s">
        <v>76</v>
      </c>
      <c r="AW5" s="0" t="str">
        <f>"30075"</f>
      </c>
      <c r="AX5" s="0"/>
      <c r="AY5" s="0" t="s">
        <v>73</v>
      </c>
      <c r="AZ5" s="0" t="n">
        <v>841957</v>
      </c>
      <c r="BA5" s="0" t="inlineStr">
        <is>
          <t/>
        </is>
      </c>
      <c r="BB5" s="0"/>
      <c r="BC5" s="0" t="n">
        <v>952102</v>
      </c>
      <c r="BD5" s="0"/>
      <c r="BE5" s="0" t="n">
        <v>202</v>
      </c>
      <c r="BF5" s="0" t="s">
        <v>103</v>
      </c>
      <c r="BG5" s="0"/>
      <c r="BH5" s="0"/>
    </row>
    <row r="6">
      <c r="A6" s="0" t="s">
        <v>95</v>
      </c>
      <c r="B6" s="0" t="s">
        <v>61</v>
      </c>
      <c r="C6" s="0" t="n">
        <v>1000.0</v>
      </c>
      <c r="D6" s="0"/>
      <c r="E6" s="0" t="n">
        <v>1000.0</v>
      </c>
      <c r="F6" s="0"/>
      <c r="G6" s="2">
        <v>44413.0</v>
      </c>
      <c r="H6" s="2">
        <v>44413.0</v>
      </c>
      <c r="I6" s="0"/>
      <c r="J6" s="0"/>
      <c r="K6" s="0"/>
      <c r="L6" s="0"/>
      <c r="M6" s="0" t="s">
        <v>78</v>
      </c>
      <c r="N6" s="0"/>
      <c r="O6" s="0"/>
      <c r="P6" s="0"/>
      <c r="Q6" s="0" t="s">
        <v>96</v>
      </c>
      <c r="R6" s="0" t="inlineStr">
        <is>
          <t/>
        </is>
      </c>
      <c r="S6" s="0" t="inlineStr">
        <is>
          <t/>
        </is>
      </c>
      <c r="T6" s="0" t="inlineStr">
        <is>
          <t/>
        </is>
      </c>
      <c r="U6" s="0" t="s">
        <v>63</v>
      </c>
      <c r="V6" s="0" t="s">
        <v>97</v>
      </c>
      <c r="W6" s="0" t="inlineStr">
        <is>
          <t/>
        </is>
      </c>
      <c r="X6" s="0" t="s">
        <v>87</v>
      </c>
      <c r="Y6" s="0" t="s">
        <v>98</v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  <c r="AC6" s="0" t="inlineStr">
        <is>
          <t/>
        </is>
      </c>
      <c r="AD6" s="0"/>
      <c r="AE6" s="0" t="s">
        <v>99</v>
      </c>
      <c r="AF6" s="0" t="s">
        <v>100</v>
      </c>
      <c r="AG6" s="0" t="s">
        <v>95</v>
      </c>
      <c r="AH6" s="0" t="s">
        <v>95</v>
      </c>
      <c r="AI6" s="0" t="inlineStr">
        <is>
          <t/>
        </is>
      </c>
      <c r="AJ6" s="0" t="s">
        <v>99</v>
      </c>
      <c r="AK6" s="0"/>
      <c r="AL6" s="0" t="s">
        <v>101</v>
      </c>
      <c r="AM6" s="0" t="s">
        <v>71</v>
      </c>
      <c r="AN6" s="0" t="s">
        <v>102</v>
      </c>
      <c r="AO6" s="0" t="s">
        <v>73</v>
      </c>
      <c r="AP6" s="0" t="n">
        <v>282407</v>
      </c>
      <c r="AQ6" s="0" t="str">
        <f>""</f>
      </c>
      <c r="AR6" s="0" t="str">
        <f>""</f>
      </c>
      <c r="AS6" s="0" t="str">
        <f>""</f>
      </c>
      <c r="AT6" s="0" t="inlineStr">
        <is>
          <t/>
        </is>
      </c>
      <c r="AU6" s="0" t="s">
        <v>101</v>
      </c>
      <c r="AV6" s="0" t="s">
        <v>76</v>
      </c>
      <c r="AW6" s="0" t="str">
        <f>"30075"</f>
      </c>
      <c r="AX6" s="0"/>
      <c r="AY6" s="0" t="s">
        <v>73</v>
      </c>
      <c r="AZ6" s="0" t="n">
        <v>841957</v>
      </c>
      <c r="BA6" s="0" t="inlineStr">
        <is>
          <t/>
        </is>
      </c>
      <c r="BB6" s="0"/>
      <c r="BC6" s="0" t="n">
        <v>952102</v>
      </c>
      <c r="BD6" s="0"/>
      <c r="BE6" s="0" t="n">
        <v>197</v>
      </c>
      <c r="BF6" s="0" t="s">
        <v>104</v>
      </c>
      <c r="BG6" s="0"/>
      <c r="BH6" s="0"/>
    </row>
    <row r="7">
      <c r="A7" s="0" t="s">
        <v>95</v>
      </c>
      <c r="B7" s="0" t="s">
        <v>61</v>
      </c>
      <c r="C7" s="0" t="n">
        <v>500.0</v>
      </c>
      <c r="D7" s="0"/>
      <c r="E7" s="0" t="n">
        <v>500.0</v>
      </c>
      <c r="F7" s="0"/>
      <c r="G7" s="2">
        <v>44294.0</v>
      </c>
      <c r="H7" s="2">
        <v>44294.0</v>
      </c>
      <c r="I7" s="0"/>
      <c r="J7" s="0"/>
      <c r="K7" s="0"/>
      <c r="L7" s="0"/>
      <c r="M7" s="0" t="s">
        <v>78</v>
      </c>
      <c r="N7" s="0"/>
      <c r="O7" s="0"/>
      <c r="P7" s="0"/>
      <c r="Q7" s="0" t="s">
        <v>96</v>
      </c>
      <c r="R7" s="0" t="inlineStr">
        <is>
          <t/>
        </is>
      </c>
      <c r="S7" s="0" t="inlineStr">
        <is>
          <t/>
        </is>
      </c>
      <c r="T7" s="0" t="inlineStr">
        <is>
          <t/>
        </is>
      </c>
      <c r="U7" s="0" t="s">
        <v>63</v>
      </c>
      <c r="V7" s="0" t="s">
        <v>97</v>
      </c>
      <c r="W7" s="0" t="inlineStr">
        <is>
          <t/>
        </is>
      </c>
      <c r="X7" s="0" t="s">
        <v>87</v>
      </c>
      <c r="Y7" s="0" t="s">
        <v>98</v>
      </c>
      <c r="Z7" s="0" t="inlineStr">
        <is>
          <t/>
        </is>
      </c>
      <c r="AA7" s="0" t="inlineStr">
        <is>
          <t/>
        </is>
      </c>
      <c r="AB7" s="0" t="inlineStr">
        <is>
          <t/>
        </is>
      </c>
      <c r="AC7" s="0" t="inlineStr">
        <is>
          <t/>
        </is>
      </c>
      <c r="AD7" s="0"/>
      <c r="AE7" s="0" t="s">
        <v>99</v>
      </c>
      <c r="AF7" s="0" t="s">
        <v>100</v>
      </c>
      <c r="AG7" s="0" t="s">
        <v>95</v>
      </c>
      <c r="AH7" s="0" t="s">
        <v>95</v>
      </c>
      <c r="AI7" s="0" t="inlineStr">
        <is>
          <t/>
        </is>
      </c>
      <c r="AJ7" s="0" t="s">
        <v>99</v>
      </c>
      <c r="AK7" s="0"/>
      <c r="AL7" s="0" t="s">
        <v>101</v>
      </c>
      <c r="AM7" s="0" t="s">
        <v>71</v>
      </c>
      <c r="AN7" s="0" t="s">
        <v>102</v>
      </c>
      <c r="AO7" s="0" t="s">
        <v>73</v>
      </c>
      <c r="AP7" s="0" t="n">
        <v>282407</v>
      </c>
      <c r="AQ7" s="0" t="str">
        <f>""</f>
      </c>
      <c r="AR7" s="0" t="str">
        <f>""</f>
      </c>
      <c r="AS7" s="0" t="str">
        <f>""</f>
      </c>
      <c r="AT7" s="0" t="inlineStr">
        <is>
          <t/>
        </is>
      </c>
      <c r="AU7" s="0" t="s">
        <v>101</v>
      </c>
      <c r="AV7" s="0" t="s">
        <v>76</v>
      </c>
      <c r="AW7" s="0" t="str">
        <f>"30075"</f>
      </c>
      <c r="AX7" s="0"/>
      <c r="AY7" s="0" t="s">
        <v>73</v>
      </c>
      <c r="AZ7" s="0" t="n">
        <v>841957</v>
      </c>
      <c r="BA7" s="0" t="inlineStr">
        <is>
          <t/>
        </is>
      </c>
      <c r="BB7" s="0"/>
      <c r="BC7" s="0" t="n">
        <v>952102</v>
      </c>
      <c r="BD7" s="0"/>
      <c r="BE7" s="0" t="n">
        <v>192</v>
      </c>
      <c r="BF7" s="0" t="s">
        <v>105</v>
      </c>
      <c r="BG7" s="0"/>
      <c r="BH7" s="0"/>
    </row>
    <row r="8">
      <c r="A8" s="0" t="s">
        <v>77</v>
      </c>
      <c r="B8" s="0" t="s">
        <v>61</v>
      </c>
      <c r="C8" s="0" t="n">
        <v>207000.0</v>
      </c>
      <c r="D8" s="0"/>
      <c r="E8" s="0" t="n">
        <v>207000.0</v>
      </c>
      <c r="F8" s="0"/>
      <c r="G8" s="2">
        <v>44025.0</v>
      </c>
      <c r="H8" s="2">
        <v>44025.0</v>
      </c>
      <c r="I8" s="0"/>
      <c r="J8" s="0"/>
      <c r="K8" s="0"/>
      <c r="L8" s="0"/>
      <c r="M8" s="0" t="s">
        <v>78</v>
      </c>
      <c r="N8" s="0"/>
      <c r="O8" s="0"/>
      <c r="P8" s="0"/>
      <c r="Q8" s="0" t="inlineStr">
        <is>
          <t/>
        </is>
      </c>
      <c r="R8" s="0" t="inlineStr">
        <is>
          <t/>
        </is>
      </c>
      <c r="S8" s="0" t="inlineStr">
        <is>
          <t/>
        </is>
      </c>
      <c r="T8" s="0" t="inlineStr">
        <is>
          <t/>
        </is>
      </c>
      <c r="U8" s="0" t="inlineStr">
        <is>
          <t/>
        </is>
      </c>
      <c r="V8" s="0" t="s">
        <v>64</v>
      </c>
      <c r="W8" s="0" t="inlineStr">
        <is>
          <t/>
        </is>
      </c>
      <c r="X8" s="0" t="s">
        <v>65</v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  <c r="AC8" s="0" t="inlineStr">
        <is>
          <t/>
        </is>
      </c>
      <c r="AD8" s="0"/>
      <c r="AE8" s="0" t="s">
        <v>79</v>
      </c>
      <c r="AF8" s="0" t="s">
        <v>80</v>
      </c>
      <c r="AG8" s="0" t="s">
        <v>77</v>
      </c>
      <c r="AH8" s="0" t="s">
        <v>77</v>
      </c>
      <c r="AI8" s="0" t="inlineStr">
        <is>
          <t/>
        </is>
      </c>
      <c r="AJ8" s="0" t="s">
        <v>79</v>
      </c>
      <c r="AK8" s="0"/>
      <c r="AL8" s="0"/>
      <c r="AM8" s="0" t="s">
        <v>71</v>
      </c>
      <c r="AN8" s="0" t="s">
        <v>81</v>
      </c>
      <c r="AO8" s="0" t="s">
        <v>73</v>
      </c>
      <c r="AP8" s="0" t="n">
        <v>282422</v>
      </c>
      <c r="AQ8" s="0" t="str">
        <f>""</f>
      </c>
      <c r="AR8" s="0" t="str">
        <f>""</f>
      </c>
      <c r="AS8" s="0" t="str">
        <f>""</f>
      </c>
      <c r="AT8" s="0" t="s">
        <v>82</v>
      </c>
      <c r="AU8" s="0" t="s">
        <v>83</v>
      </c>
      <c r="AV8" s="0" t="s">
        <v>84</v>
      </c>
      <c r="AW8" s="0" t="str">
        <f>"19428"</f>
      </c>
      <c r="AX8" s="0"/>
      <c r="AY8" s="0" t="s">
        <v>73</v>
      </c>
      <c r="AZ8" s="0" t="n">
        <v>841972</v>
      </c>
      <c r="BA8" s="0" t="inlineStr">
        <is>
          <t/>
        </is>
      </c>
      <c r="BB8" s="0"/>
      <c r="BC8" s="0" t="n">
        <v>952117</v>
      </c>
      <c r="BD8" s="0"/>
      <c r="BE8" s="0" t="n">
        <v>217</v>
      </c>
      <c r="BF8" s="0" t="s">
        <v>106</v>
      </c>
      <c r="BG8" s="0"/>
      <c r="BH8" s="0"/>
    </row>
    <row r="9">
      <c r="A9" s="0" t="s">
        <v>95</v>
      </c>
      <c r="B9" s="0" t="s">
        <v>61</v>
      </c>
      <c r="C9" s="0" t="n">
        <v>1000.0</v>
      </c>
      <c r="D9" s="0"/>
      <c r="E9" s="0" t="n">
        <v>1000.0</v>
      </c>
      <c r="F9" s="0"/>
      <c r="G9" s="2">
        <v>43873.0</v>
      </c>
      <c r="H9" s="2">
        <v>43873.0</v>
      </c>
      <c r="I9" s="0"/>
      <c r="J9" s="0"/>
      <c r="K9" s="0"/>
      <c r="L9" s="0"/>
      <c r="M9" s="0" t="s">
        <v>78</v>
      </c>
      <c r="N9" s="0"/>
      <c r="O9" s="0"/>
      <c r="P9" s="0"/>
      <c r="Q9" s="0" t="s">
        <v>96</v>
      </c>
      <c r="R9" s="0" t="inlineStr">
        <is>
          <t/>
        </is>
      </c>
      <c r="S9" s="0" t="inlineStr">
        <is>
          <t/>
        </is>
      </c>
      <c r="T9" s="0" t="inlineStr">
        <is>
          <t/>
        </is>
      </c>
      <c r="U9" s="0" t="s">
        <v>63</v>
      </c>
      <c r="V9" s="0" t="s">
        <v>97</v>
      </c>
      <c r="W9" s="0" t="inlineStr">
        <is>
          <t/>
        </is>
      </c>
      <c r="X9" s="0" t="s">
        <v>87</v>
      </c>
      <c r="Y9" s="0" t="s">
        <v>98</v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  <c r="AC9" s="0" t="inlineStr">
        <is>
          <t/>
        </is>
      </c>
      <c r="AD9" s="0"/>
      <c r="AE9" s="0" t="s">
        <v>99</v>
      </c>
      <c r="AF9" s="0" t="s">
        <v>100</v>
      </c>
      <c r="AG9" s="0" t="s">
        <v>95</v>
      </c>
      <c r="AH9" s="0" t="s">
        <v>95</v>
      </c>
      <c r="AI9" s="0" t="inlineStr">
        <is>
          <t/>
        </is>
      </c>
      <c r="AJ9" s="0" t="s">
        <v>99</v>
      </c>
      <c r="AK9" s="0"/>
      <c r="AL9" s="0" t="s">
        <v>101</v>
      </c>
      <c r="AM9" s="0" t="s">
        <v>71</v>
      </c>
      <c r="AN9" s="0" t="s">
        <v>102</v>
      </c>
      <c r="AO9" s="0" t="s">
        <v>73</v>
      </c>
      <c r="AP9" s="0" t="n">
        <v>282407</v>
      </c>
      <c r="AQ9" s="0" t="str">
        <f>""</f>
      </c>
      <c r="AR9" s="0" t="str">
        <f>""</f>
      </c>
      <c r="AS9" s="0" t="str">
        <f>""</f>
      </c>
      <c r="AT9" s="0" t="inlineStr">
        <is>
          <t/>
        </is>
      </c>
      <c r="AU9" s="0" t="s">
        <v>101</v>
      </c>
      <c r="AV9" s="0" t="s">
        <v>76</v>
      </c>
      <c r="AW9" s="0" t="str">
        <f>"30075"</f>
      </c>
      <c r="AX9" s="0"/>
      <c r="AY9" s="0" t="s">
        <v>73</v>
      </c>
      <c r="AZ9" s="0" t="n">
        <v>841957</v>
      </c>
      <c r="BA9" s="0" t="inlineStr">
        <is>
          <t/>
        </is>
      </c>
      <c r="BB9" s="0"/>
      <c r="BC9" s="0" t="n">
        <v>952102</v>
      </c>
      <c r="BD9" s="0"/>
      <c r="BE9" s="0" t="n">
        <v>187</v>
      </c>
      <c r="BF9" s="0" t="s">
        <v>107</v>
      </c>
      <c r="BG9" s="0"/>
      <c r="BH9" s="0"/>
    </row>
    <row r="10">
      <c r="A10" s="0" t="s">
        <v>77</v>
      </c>
      <c r="B10" s="0" t="s">
        <v>61</v>
      </c>
      <c r="C10" s="0" t="n">
        <v>25000.0</v>
      </c>
      <c r="D10" s="0"/>
      <c r="E10" s="0" t="n">
        <v>25000.0</v>
      </c>
      <c r="F10" s="0"/>
      <c r="G10" s="2">
        <v>43714.0</v>
      </c>
      <c r="H10" s="2">
        <v>43714.0</v>
      </c>
      <c r="I10" s="0"/>
      <c r="J10" s="0"/>
      <c r="K10" s="0"/>
      <c r="L10" s="0"/>
      <c r="M10" s="0" t="s">
        <v>78</v>
      </c>
      <c r="N10" s="0"/>
      <c r="O10" s="0"/>
      <c r="P10" s="0"/>
      <c r="Q10" s="0" t="inlineStr">
        <is>
          <t/>
        </is>
      </c>
      <c r="R10" s="0" t="inlineStr">
        <is>
          <t/>
        </is>
      </c>
      <c r="S10" s="0" t="inlineStr">
        <is>
          <t/>
        </is>
      </c>
      <c r="T10" s="0" t="inlineStr">
        <is>
          <t/>
        </is>
      </c>
      <c r="U10" s="0" t="inlineStr">
        <is>
          <t/>
        </is>
      </c>
      <c r="V10" s="0" t="s">
        <v>64</v>
      </c>
      <c r="W10" s="0" t="inlineStr">
        <is>
          <t/>
        </is>
      </c>
      <c r="X10" s="0" t="s">
        <v>65</v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inlineStr">
        <is>
          <t/>
        </is>
      </c>
      <c r="AC10" s="0" t="inlineStr">
        <is>
          <t/>
        </is>
      </c>
      <c r="AD10" s="0"/>
      <c r="AE10" s="0" t="s">
        <v>79</v>
      </c>
      <c r="AF10" s="0" t="s">
        <v>80</v>
      </c>
      <c r="AG10" s="0" t="s">
        <v>77</v>
      </c>
      <c r="AH10" s="0" t="s">
        <v>77</v>
      </c>
      <c r="AI10" s="0" t="inlineStr">
        <is>
          <t/>
        </is>
      </c>
      <c r="AJ10" s="0" t="s">
        <v>79</v>
      </c>
      <c r="AK10" s="0"/>
      <c r="AL10" s="0"/>
      <c r="AM10" s="0" t="s">
        <v>71</v>
      </c>
      <c r="AN10" s="0" t="s">
        <v>81</v>
      </c>
      <c r="AO10" s="0" t="s">
        <v>73</v>
      </c>
      <c r="AP10" s="0" t="n">
        <v>282422</v>
      </c>
      <c r="AQ10" s="0" t="str">
        <f>""</f>
      </c>
      <c r="AR10" s="0" t="str">
        <f>""</f>
      </c>
      <c r="AS10" s="0" t="str">
        <f>""</f>
      </c>
      <c r="AT10" s="0" t="s">
        <v>82</v>
      </c>
      <c r="AU10" s="0" t="s">
        <v>83</v>
      </c>
      <c r="AV10" s="0" t="s">
        <v>84</v>
      </c>
      <c r="AW10" s="0" t="str">
        <f>"19428"</f>
      </c>
      <c r="AX10" s="0"/>
      <c r="AY10" s="0" t="s">
        <v>73</v>
      </c>
      <c r="AZ10" s="0" t="n">
        <v>841972</v>
      </c>
      <c r="BA10" s="0" t="inlineStr">
        <is>
          <t/>
        </is>
      </c>
      <c r="BB10" s="0"/>
      <c r="BC10" s="0" t="n">
        <v>952117</v>
      </c>
      <c r="BD10" s="0"/>
      <c r="BE10" s="0" t="n">
        <v>212</v>
      </c>
      <c r="BF10" s="0" t="s">
        <v>108</v>
      </c>
      <c r="BG10" s="0"/>
      <c r="BH10" s="0"/>
    </row>
    <row r="11">
      <c r="A11" s="0" t="s">
        <v>60</v>
      </c>
      <c r="B11" s="0" t="s">
        <v>61</v>
      </c>
      <c r="C11" s="0" t="n">
        <v>50.0</v>
      </c>
      <c r="D11" s="0"/>
      <c r="E11" s="0" t="n">
        <v>50.0</v>
      </c>
      <c r="F11" s="0"/>
      <c r="G11" s="2">
        <v>43102.0</v>
      </c>
      <c r="H11" s="2">
        <v>43102.0</v>
      </c>
      <c r="I11" s="0"/>
      <c r="J11" s="0"/>
      <c r="K11" s="0" t="inlineStr">
        <is>
          <t/>
        </is>
      </c>
      <c r="L11" s="0"/>
      <c r="M11" s="0"/>
      <c r="N11" s="0"/>
      <c r="O11" s="0"/>
      <c r="P11" s="0" t="s">
        <v>62</v>
      </c>
      <c r="Q11" s="0" t="inlineStr">
        <is>
          <t/>
        </is>
      </c>
      <c r="R11" s="0" t="inlineStr">
        <is>
          <t/>
        </is>
      </c>
      <c r="S11" s="0" t="inlineStr">
        <is>
          <t/>
        </is>
      </c>
      <c r="T11" s="0" t="inlineStr">
        <is>
          <t/>
        </is>
      </c>
      <c r="U11" s="0" t="s">
        <v>63</v>
      </c>
      <c r="V11" s="0" t="s">
        <v>64</v>
      </c>
      <c r="W11" s="0" t="inlineStr">
        <is>
          <t/>
        </is>
      </c>
      <c r="X11" s="0" t="s">
        <v>65</v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  <c r="AD11" s="0" t="s">
        <v>109</v>
      </c>
      <c r="AE11" s="0" t="s">
        <v>67</v>
      </c>
      <c r="AF11" s="0" t="s">
        <v>68</v>
      </c>
      <c r="AG11" s="0" t="s">
        <v>60</v>
      </c>
      <c r="AH11" s="0" t="s">
        <v>60</v>
      </c>
      <c r="AI11" s="0"/>
      <c r="AJ11" s="0" t="s">
        <v>69</v>
      </c>
      <c r="AK11" s="0"/>
      <c r="AL11" s="0" t="s">
        <v>70</v>
      </c>
      <c r="AM11" s="0" t="s">
        <v>71</v>
      </c>
      <c r="AN11" s="0" t="s">
        <v>72</v>
      </c>
      <c r="AO11" s="0" t="s">
        <v>73</v>
      </c>
      <c r="AP11" s="0" t="n">
        <v>282412</v>
      </c>
      <c r="AQ11" s="0" t="str">
        <f>""</f>
      </c>
      <c r="AR11" s="0" t="str">
        <f>""</f>
      </c>
      <c r="AS11" s="0" t="str">
        <f>""</f>
      </c>
      <c r="AT11" s="0" t="s">
        <v>74</v>
      </c>
      <c r="AU11" s="0" t="s">
        <v>75</v>
      </c>
      <c r="AV11" s="0" t="s">
        <v>76</v>
      </c>
      <c r="AW11" s="0" t="str">
        <f>"31904"</f>
      </c>
      <c r="AX11" s="0"/>
      <c r="AY11" s="0" t="s">
        <v>73</v>
      </c>
      <c r="AZ11" s="0" t="n">
        <v>841962</v>
      </c>
      <c r="BA11" s="0" t="inlineStr">
        <is>
          <t/>
        </is>
      </c>
      <c r="BB11" s="0" t="n">
        <v>8152</v>
      </c>
      <c r="BC11" s="0" t="n">
        <v>952107</v>
      </c>
      <c r="BD11" s="0"/>
      <c r="BE11" s="0" t="n">
        <v>232</v>
      </c>
      <c r="BF11" s="0"/>
      <c r="BG11" s="0"/>
      <c r="BH11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2026-03-26T23:56:48Z</dcterms:created>
  <cp:revision>0</cp:revision>
</cp:coreProperties>
</file>